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e5d560a26c22c8/Documents/"/>
    </mc:Choice>
  </mc:AlternateContent>
  <xr:revisionPtr revIDLastSave="1" documentId="14_{8A2C036D-F13C-4D0F-9A93-4D12781B806A}" xr6:coauthVersionLast="47" xr6:coauthVersionMax="47" xr10:uidLastSave="{8C5A7615-3B51-4240-A2DC-30BD54B4B541}"/>
  <bookViews>
    <workbookView xWindow="1905" yWindow="1905" windowWidth="28830" windowHeight="19080" xr2:uid="{185886EB-8388-4D87-BC46-0D679DC570AA}"/>
  </bookViews>
  <sheets>
    <sheet name="DCF" sheetId="1" r:id="rId1"/>
    <sheet name="WACC" sheetId="19" r:id="rId2"/>
    <sheet name="Cashflow20-22" sheetId="15" r:id="rId3"/>
    <sheet name="CashFlow23-25" sheetId="12" r:id="rId4"/>
    <sheet name="Income Statement23-25" sheetId="17" r:id="rId5"/>
    <sheet name="Income Statement20-22" sheetId="16" r:id="rId6"/>
    <sheet name="Balance Sheets 24-25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L32" i="1" s="1"/>
  <c r="N63" i="1"/>
  <c r="N62" i="1"/>
  <c r="C16" i="1"/>
  <c r="L57" i="1"/>
  <c r="M57" i="1" s="1"/>
  <c r="N57" i="1" s="1"/>
  <c r="K57" i="1"/>
  <c r="C16" i="19"/>
  <c r="C12" i="19"/>
  <c r="C13" i="19" s="1"/>
  <c r="H46" i="1"/>
  <c r="I46" i="1"/>
  <c r="G46" i="1"/>
  <c r="E46" i="1"/>
  <c r="F46" i="1"/>
  <c r="D46" i="1"/>
  <c r="D43" i="1"/>
  <c r="H43" i="1"/>
  <c r="I43" i="1"/>
  <c r="G43" i="1"/>
  <c r="E43" i="1"/>
  <c r="F43" i="1"/>
  <c r="H40" i="1"/>
  <c r="I40" i="1"/>
  <c r="G40" i="1"/>
  <c r="E40" i="1"/>
  <c r="F40" i="1"/>
  <c r="D40" i="1"/>
  <c r="H27" i="1"/>
  <c r="H35" i="1" s="1"/>
  <c r="I27" i="1"/>
  <c r="I32" i="1" s="1"/>
  <c r="G27" i="1"/>
  <c r="G32" i="1" s="1"/>
  <c r="E27" i="1"/>
  <c r="E32" i="1" s="1"/>
  <c r="F27" i="1"/>
  <c r="F35" i="1" s="1"/>
  <c r="D27" i="1"/>
  <c r="D32" i="1" s="1"/>
  <c r="H20" i="1"/>
  <c r="I20" i="1"/>
  <c r="I21" i="1" s="1"/>
  <c r="G20" i="1"/>
  <c r="H21" i="1" s="1"/>
  <c r="D20" i="1"/>
  <c r="F20" i="1"/>
  <c r="E20" i="1"/>
  <c r="E25" i="1" s="1"/>
  <c r="M32" i="1" l="1"/>
  <c r="N32" i="1" s="1"/>
  <c r="C14" i="19"/>
  <c r="C24" i="19" s="1"/>
  <c r="F24" i="1"/>
  <c r="H25" i="1"/>
  <c r="F23" i="1"/>
  <c r="G24" i="1"/>
  <c r="G25" i="1"/>
  <c r="F25" i="1"/>
  <c r="H24" i="1"/>
  <c r="E24" i="1"/>
  <c r="I24" i="1"/>
  <c r="I25" i="1"/>
  <c r="J25" i="1"/>
  <c r="K25" i="1" s="1"/>
  <c r="E21" i="1"/>
  <c r="J24" i="1" s="1"/>
  <c r="K24" i="1" s="1"/>
  <c r="G23" i="1"/>
  <c r="F21" i="1"/>
  <c r="I41" i="1"/>
  <c r="H41" i="1"/>
  <c r="F44" i="1"/>
  <c r="G21" i="1"/>
  <c r="G44" i="1"/>
  <c r="G41" i="1"/>
  <c r="E23" i="1"/>
  <c r="H23" i="1"/>
  <c r="I23" i="1"/>
  <c r="D41" i="1"/>
  <c r="F41" i="1"/>
  <c r="H44" i="1"/>
  <c r="F47" i="1"/>
  <c r="E47" i="1"/>
  <c r="G47" i="1"/>
  <c r="D47" i="1"/>
  <c r="H47" i="1"/>
  <c r="E44" i="1"/>
  <c r="D44" i="1"/>
  <c r="I44" i="1"/>
  <c r="E41" i="1"/>
  <c r="E28" i="1"/>
  <c r="I47" i="1"/>
  <c r="F28" i="1"/>
  <c r="I28" i="1"/>
  <c r="D28" i="1"/>
  <c r="H32" i="1"/>
  <c r="I35" i="1"/>
  <c r="I36" i="1" s="1"/>
  <c r="H36" i="1"/>
  <c r="G35" i="1"/>
  <c r="G36" i="1" s="1"/>
  <c r="F32" i="1"/>
  <c r="E35" i="1"/>
  <c r="E36" i="1" s="1"/>
  <c r="D35" i="1"/>
  <c r="D36" i="1" s="1"/>
  <c r="F36" i="1"/>
  <c r="G28" i="1"/>
  <c r="H28" i="1"/>
  <c r="J21" i="1" l="1"/>
  <c r="J20" i="1" s="1"/>
  <c r="J31" i="1" s="1"/>
  <c r="J23" i="1"/>
  <c r="L24" i="1"/>
  <c r="K21" i="1"/>
  <c r="L25" i="1"/>
  <c r="M25" i="1" s="1"/>
  <c r="N25" i="1" s="1"/>
  <c r="J47" i="1"/>
  <c r="J32" i="1"/>
  <c r="K47" i="1"/>
  <c r="J44" i="1"/>
  <c r="J41" i="1"/>
  <c r="J28" i="1"/>
  <c r="K20" i="1" l="1"/>
  <c r="K46" i="1" s="1"/>
  <c r="K54" i="1" s="1"/>
  <c r="J27" i="1"/>
  <c r="J35" i="1" s="1"/>
  <c r="J51" i="1" s="1"/>
  <c r="J46" i="1"/>
  <c r="J54" i="1" s="1"/>
  <c r="K31" i="1"/>
  <c r="K23" i="1"/>
  <c r="L23" i="1" s="1"/>
  <c r="M24" i="1"/>
  <c r="L21" i="1"/>
  <c r="L20" i="1" s="1"/>
  <c r="L47" i="1"/>
  <c r="J40" i="1"/>
  <c r="J52" i="1" s="1"/>
  <c r="J43" i="1"/>
  <c r="J53" i="1" s="1"/>
  <c r="K41" i="1"/>
  <c r="K44" i="1"/>
  <c r="K28" i="1"/>
  <c r="J36" i="1" l="1"/>
  <c r="J55" i="1"/>
  <c r="J58" i="1" s="1"/>
  <c r="J59" i="1" s="1"/>
  <c r="J60" i="1" s="1"/>
  <c r="M23" i="1"/>
  <c r="N23" i="1" s="1"/>
  <c r="L31" i="1"/>
  <c r="M21" i="1"/>
  <c r="M20" i="1" s="1"/>
  <c r="N24" i="1"/>
  <c r="N21" i="1" s="1"/>
  <c r="L46" i="1"/>
  <c r="L54" i="1" s="1"/>
  <c r="M47" i="1"/>
  <c r="L41" i="1"/>
  <c r="L40" i="1" s="1"/>
  <c r="L52" i="1" s="1"/>
  <c r="K40" i="1"/>
  <c r="K52" i="1" s="1"/>
  <c r="L44" i="1"/>
  <c r="L43" i="1" s="1"/>
  <c r="L53" i="1" s="1"/>
  <c r="K43" i="1"/>
  <c r="K53" i="1" s="1"/>
  <c r="M41" i="1"/>
  <c r="N47" i="1"/>
  <c r="L28" i="1"/>
  <c r="K27" i="1"/>
  <c r="K35" i="1" s="1"/>
  <c r="K36" i="1" l="1"/>
  <c r="K51" i="1"/>
  <c r="K55" i="1" s="1"/>
  <c r="K58" i="1" s="1"/>
  <c r="K59" i="1" s="1"/>
  <c r="K60" i="1" s="1"/>
  <c r="N20" i="1"/>
  <c r="M31" i="1"/>
  <c r="M46" i="1"/>
  <c r="M54" i="1" s="1"/>
  <c r="M40" i="1"/>
  <c r="M52" i="1" s="1"/>
  <c r="N46" i="1"/>
  <c r="N54" i="1" s="1"/>
  <c r="N41" i="1"/>
  <c r="N40" i="1" s="1"/>
  <c r="N52" i="1" s="1"/>
  <c r="M44" i="1"/>
  <c r="M28" i="1"/>
  <c r="L27" i="1"/>
  <c r="L35" i="1" s="1"/>
  <c r="N31" i="1"/>
  <c r="L36" i="1" l="1"/>
  <c r="L51" i="1"/>
  <c r="L55" i="1" s="1"/>
  <c r="L58" i="1" s="1"/>
  <c r="L59" i="1" s="1"/>
  <c r="L60" i="1" s="1"/>
  <c r="N44" i="1"/>
  <c r="N43" i="1" s="1"/>
  <c r="N53" i="1" s="1"/>
  <c r="M43" i="1"/>
  <c r="M53" i="1" s="1"/>
  <c r="N28" i="1"/>
  <c r="N27" i="1" s="1"/>
  <c r="N35" i="1" s="1"/>
  <c r="M27" i="1"/>
  <c r="M35" i="1" s="1"/>
  <c r="N36" i="1" l="1"/>
  <c r="N51" i="1"/>
  <c r="N55" i="1" s="1"/>
  <c r="N58" i="1" s="1"/>
  <c r="M36" i="1"/>
  <c r="M51" i="1"/>
  <c r="M55" i="1" s="1"/>
  <c r="M58" i="1" s="1"/>
  <c r="M59" i="1" s="1"/>
  <c r="M60" i="1" s="1"/>
  <c r="N59" i="1" l="1"/>
  <c r="N60" i="1" s="1"/>
  <c r="N61" i="1" s="1"/>
  <c r="N64" i="1" s="1"/>
  <c r="N66" i="1" s="1"/>
  <c r="C8" i="1" s="1"/>
  <c r="C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2AEDA-EA3D-490D-9185-5ED41918E0A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E41C848-499D-46A1-AEBF-8F8726DC46E4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  <connection id="3" xr16:uid="{429CCB0B-DA8E-4B8A-9793-C30FD3B0496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6B137AC2-E26B-4320-B44B-6CC6353A7186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5" xr16:uid="{227A57B5-867F-4CFB-9AB3-8F296F8BD4E5}" keepAlive="1" name="Query - Table5 (2)" description="Connection to the 'Table5 (2)' query in the workbook." type="5" refreshedVersion="0" background="1" saveData="1">
    <dbPr connection="Provider=Microsoft.Mashup.OleDb.1;Data Source=$Workbook$;Location=&quot;Table5 (2)&quot;;Extended Properties=&quot;&quot;" command="SELECT * FROM [Table5 (2)]"/>
  </connection>
  <connection id="6" xr16:uid="{A3652A25-0C88-40E1-82DB-1DE49B07D847}" keepAlive="1" name="Query - Table8" description="Connection to the 'Table8' query in the workbook." type="5" refreshedVersion="0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<sst xmlns="http://schemas.openxmlformats.org/spreadsheetml/2006/main" count="595" uniqueCount="465">
  <si>
    <t>Assumptions</t>
  </si>
  <si>
    <t>WACC</t>
  </si>
  <si>
    <t>TGR</t>
  </si>
  <si>
    <t>Revenue</t>
  </si>
  <si>
    <t>EBIT</t>
  </si>
  <si>
    <t>% of sales</t>
  </si>
  <si>
    <t>DCF</t>
  </si>
  <si>
    <t>OPERATING REVENUES</t>
  </si>
  <si>
    <t>OPERATING EXPENSES</t>
  </si>
  <si>
    <t>Fuel, purchased power and interchange</t>
  </si>
  <si>
    <t>5,029 </t>
  </si>
  <si>
    <t>5,457 </t>
  </si>
  <si>
    <t>Other operations and maintenance</t>
  </si>
  <si>
    <t>4,857 </t>
  </si>
  <si>
    <t>4,681 </t>
  </si>
  <si>
    <t>Depreciation and amortization</t>
  </si>
  <si>
    <t>5,462 </t>
  </si>
  <si>
    <t>5,879 </t>
  </si>
  <si>
    <t>Taxes other than income taxes and other – net</t>
  </si>
  <si>
    <t>2,278 </t>
  </si>
  <si>
    <t>2,265 </t>
  </si>
  <si>
    <t>Total operating expenses – net</t>
  </si>
  <si>
    <t>17,626 </t>
  </si>
  <si>
    <t>18,282 </t>
  </si>
  <si>
    <t>GAINS ON DISPOSAL OF BUSINESSES/ASSETS – NET</t>
  </si>
  <si>
    <t>352 </t>
  </si>
  <si>
    <t>405 </t>
  </si>
  <si>
    <t>OTHER INCOME (DEDUCTIONS)</t>
  </si>
  <si>
    <t>Interest expense</t>
  </si>
  <si>
    <t>Equity in losses of equity method investees</t>
  </si>
  <si>
    <t>Allowance for equity funds used during construction</t>
  </si>
  <si>
    <t>198 </t>
  </si>
  <si>
    <t>161 </t>
  </si>
  <si>
    <t>Gains on disposal of investments and other property – net</t>
  </si>
  <si>
    <t>163 </t>
  </si>
  <si>
    <t>125 </t>
  </si>
  <si>
    <t>Change in unrealized gains (losses) on equity securities held in NEER's nuclear decommissioning funds – net</t>
  </si>
  <si>
    <t>107 </t>
  </si>
  <si>
    <t>159 </t>
  </si>
  <si>
    <t>Other net periodic benefit income</t>
  </si>
  <si>
    <t>235 </t>
  </si>
  <si>
    <t>245 </t>
  </si>
  <si>
    <t>Other – net</t>
  </si>
  <si>
    <t>336 </t>
  </si>
  <si>
    <t>333 </t>
  </si>
  <si>
    <t>Total other income (deductions) – net</t>
  </si>
  <si>
    <t>INCOME BEFORE INCOME TAXES</t>
  </si>
  <si>
    <t>6,037 </t>
  </si>
  <si>
    <t>7,288 </t>
  </si>
  <si>
    <t>INCOME TAX EXPENSE (BENEFIT)</t>
  </si>
  <si>
    <t>339 </t>
  </si>
  <si>
    <t>1,006 </t>
  </si>
  <si>
    <t>NET INCOME</t>
  </si>
  <si>
    <t>5,698 </t>
  </si>
  <si>
    <t>6,282 </t>
  </si>
  <si>
    <t>NET LOSS ATTRIBUTABLE TO NONCONTROLLING INTERESTS</t>
  </si>
  <si>
    <t>1,248 </t>
  </si>
  <si>
    <t>1,028 </t>
  </si>
  <si>
    <t>NET INCOME ATTRIBUTABLE TO NEE</t>
  </si>
  <si>
    <t>Earnings per share attributable to NEE:</t>
  </si>
  <si>
    <t>Basic</t>
  </si>
  <si>
    <t>Assuming dilution</t>
  </si>
  <si>
    <t>4,944 </t>
  </si>
  <si>
    <t>5,399 </t>
  </si>
  <si>
    <t>6,580 </t>
  </si>
  <si>
    <t>2,469 </t>
  </si>
  <si>
    <t>19,392 </t>
  </si>
  <si>
    <t>260 </t>
  </si>
  <si>
    <t>181 </t>
  </si>
  <si>
    <t>179 </t>
  </si>
  <si>
    <t>267 </t>
  </si>
  <si>
    <t>272 </t>
  </si>
  <si>
    <t>4,530 </t>
  </si>
  <si>
    <t>5,332 </t>
  </si>
  <si>
    <t>1,503 </t>
  </si>
  <si>
    <t>CASH FLOWS FROM OPERATING ACTIVITIES</t>
  </si>
  <si>
    <t>Net income</t>
  </si>
  <si>
    <t>Adjustments to reconcile net income to net cash provided by operating activities:</t>
  </si>
  <si>
    <t>Nuclear fuel and other amortization</t>
  </si>
  <si>
    <t>299 </t>
  </si>
  <si>
    <t>Unrealized losses (gains) on marked to market derivative contracts – net</t>
  </si>
  <si>
    <t>Unrealized losses (gains) on equity securities held in NEER's nuclear decommissioning funds – net</t>
  </si>
  <si>
    <t>Foreign currency transaction losses (gains)</t>
  </si>
  <si>
    <t>92 </t>
  </si>
  <si>
    <t>Deferred income taxes</t>
  </si>
  <si>
    <t>1,308 </t>
  </si>
  <si>
    <t>708 </t>
  </si>
  <si>
    <t>Cost recovery clauses and franchise fees</t>
  </si>
  <si>
    <t>1,016 </t>
  </si>
  <si>
    <t>1,104 </t>
  </si>
  <si>
    <t>246 </t>
  </si>
  <si>
    <t>648 </t>
  </si>
  <si>
    <t>Distributions of earnings from equity method investees</t>
  </si>
  <si>
    <t>811 </t>
  </si>
  <si>
    <t>712 </t>
  </si>
  <si>
    <t>Gains on disposal of businesses, assets and investments – net</t>
  </si>
  <si>
    <t>Recoverable storm-related costs</t>
  </si>
  <si>
    <t>135 </t>
  </si>
  <si>
    <t>34 </t>
  </si>
  <si>
    <t>Changes in operating assets and liabilities:</t>
  </si>
  <si>
    <t>Current assets</t>
  </si>
  <si>
    <t>Noncurrent assets</t>
  </si>
  <si>
    <t>Current liabilities</t>
  </si>
  <si>
    <t>Noncurrent liabilities</t>
  </si>
  <si>
    <t>Net cash provided by operating activities</t>
  </si>
  <si>
    <t>CASH FLOWS FROM INVESTING ACTIVITIES</t>
  </si>
  <si>
    <t>Capital expenditures of FPL</t>
  </si>
  <si>
    <t>Independent power and other investments of NEER</t>
  </si>
  <si>
    <t>Nuclear fuel purchases</t>
  </si>
  <si>
    <t>Other capital expenditures</t>
  </si>
  <si>
    <t>Proceeds from the sale of Florida City Gas business</t>
  </si>
  <si>
    <t>— </t>
  </si>
  <si>
    <t>924 </t>
  </si>
  <si>
    <t>Sale of independent power and other investments of NEER</t>
  </si>
  <si>
    <t>2,659 </t>
  </si>
  <si>
    <t>1,883 </t>
  </si>
  <si>
    <t>Proceeds from sale or maturity of securities in special use funds and other investments</t>
  </si>
  <si>
    <t>5,445 </t>
  </si>
  <si>
    <t>4,875 </t>
  </si>
  <si>
    <t>Purchases of securities in special use funds and other investments</t>
  </si>
  <si>
    <t>Net cash used in investing activities</t>
  </si>
  <si>
    <t>CASH FLOWS FROM FINANCING ACTIVITIES</t>
  </si>
  <si>
    <t>Issuances of long-term debt, including premiums and discounts</t>
  </si>
  <si>
    <t>24,769 </t>
  </si>
  <si>
    <t>13,857 </t>
  </si>
  <si>
    <t>Retirements of long-term debt</t>
  </si>
  <si>
    <t>Proceeds from differential membership investors</t>
  </si>
  <si>
    <t>2,257 </t>
  </si>
  <si>
    <t>2,745 </t>
  </si>
  <si>
    <t>Payments to differential membership investors</t>
  </si>
  <si>
    <t>Net change in commercial paper</t>
  </si>
  <si>
    <t>2,941 </t>
  </si>
  <si>
    <t>Proceeds from other short-term debt</t>
  </si>
  <si>
    <t>6,575 </t>
  </si>
  <si>
    <t>1,980 </t>
  </si>
  <si>
    <t>Repayments of other short-term debt</t>
  </si>
  <si>
    <t>Cash swept from (repayments to) related parties – net</t>
  </si>
  <si>
    <t>1,213 </t>
  </si>
  <si>
    <t>Issuances of common stock/equity units</t>
  </si>
  <si>
    <t>48 </t>
  </si>
  <si>
    <t>4,514 </t>
  </si>
  <si>
    <t>Dividends on common stock</t>
  </si>
  <si>
    <t>Net cash provided by financing activities</t>
  </si>
  <si>
    <t>7,000 </t>
  </si>
  <si>
    <t>12,149 </t>
  </si>
  <si>
    <t>Effects of currency translation on cash, cash equivalents and restricted cash</t>
  </si>
  <si>
    <t>Net increase (decrease) in cash, cash equivalents and restricted cash</t>
  </si>
  <si>
    <t>Cash, cash equivalents and restricted cash at beginning of year</t>
  </si>
  <si>
    <t>3,420 </t>
  </si>
  <si>
    <t>3,441 </t>
  </si>
  <si>
    <t>Cash, cash equivalents and restricted cash at end of year</t>
  </si>
  <si>
    <t>1,402 </t>
  </si>
  <si>
    <t>SUPPLEMENTAL DISCLOSURES OF CASH FLOW INFORMATION</t>
  </si>
  <si>
    <t>Cash paid for interest (net of amount capitalized)</t>
  </si>
  <si>
    <t>Cash paid (received) for income taxes – net</t>
  </si>
  <si>
    <t>SUPPLEMENTAL SCHEDULE OF NONCASH INVESTING AND FINANCING ACTIVITIES</t>
  </si>
  <si>
    <t>Accrued property additions</t>
  </si>
  <si>
    <t>Right-of-use asset in exchange for finance lease liability</t>
  </si>
  <si>
    <t>361 </t>
  </si>
  <si>
    <t>199 </t>
  </si>
  <si>
    <t>110 </t>
  </si>
  <si>
    <t>453 </t>
  </si>
  <si>
    <t>184 </t>
  </si>
  <si>
    <t>446 </t>
  </si>
  <si>
    <t>288 </t>
  </si>
  <si>
    <t>1,115 </t>
  </si>
  <si>
    <t>5,401 </t>
  </si>
  <si>
    <t>118 </t>
  </si>
  <si>
    <t>23,394 </t>
  </si>
  <si>
    <t>3,276 </t>
  </si>
  <si>
    <t>285 </t>
  </si>
  <si>
    <t>2,558 </t>
  </si>
  <si>
    <t>2,038 </t>
  </si>
  <si>
    <t>12,979 </t>
  </si>
  <si>
    <t>5 </t>
  </si>
  <si>
    <t>1,604 </t>
  </si>
  <si>
    <t>ASSETS</t>
  </si>
  <si>
    <t>Current assets:</t>
  </si>
  <si>
    <t>Cash and cash equivalents</t>
  </si>
  <si>
    <t>Customer receivables, net of allowances of $25 and $9, respectively</t>
  </si>
  <si>
    <t>1,400 </t>
  </si>
  <si>
    <t>Other receivables</t>
  </si>
  <si>
    <t>380 </t>
  </si>
  <si>
    <t>Materials, supplies and fuel inventory</t>
  </si>
  <si>
    <t>1,309 </t>
  </si>
  <si>
    <t>Regulatory assets</t>
  </si>
  <si>
    <t>1,405 </t>
  </si>
  <si>
    <t>Other</t>
  </si>
  <si>
    <t>257 </t>
  </si>
  <si>
    <t>Total current assets</t>
  </si>
  <si>
    <t>4,783 </t>
  </si>
  <si>
    <t>Other assets:</t>
  </si>
  <si>
    <t>Electric utility plant and other property – net</t>
  </si>
  <si>
    <t>76,166 </t>
  </si>
  <si>
    <t>Special use funds</t>
  </si>
  <si>
    <t>6,875 </t>
  </si>
  <si>
    <t>Prepaid benefit costs</t>
  </si>
  <si>
    <t>1,954 </t>
  </si>
  <si>
    <t>4,464 </t>
  </si>
  <si>
    <t>Goodwill</t>
  </si>
  <si>
    <t>2,965 </t>
  </si>
  <si>
    <t>934 </t>
  </si>
  <si>
    <t>Total other assets</t>
  </si>
  <si>
    <t>93,358 </t>
  </si>
  <si>
    <t>TOTAL ASSETS</t>
  </si>
  <si>
    <t>LIABILITIES AND EQUITY</t>
  </si>
  <si>
    <t>Current liabilities:</t>
  </si>
  <si>
    <t>Commercial paper</t>
  </si>
  <si>
    <t>Current portion of long-term debt</t>
  </si>
  <si>
    <t>1,719 </t>
  </si>
  <si>
    <t>Accounts payable</t>
  </si>
  <si>
    <t>996 </t>
  </si>
  <si>
    <t>Customer deposits</t>
  </si>
  <si>
    <t>669 </t>
  </si>
  <si>
    <t>Accrued interest and taxes</t>
  </si>
  <si>
    <t>443 </t>
  </si>
  <si>
    <t>Accrued construction-related expenditures</t>
  </si>
  <si>
    <t>860 </t>
  </si>
  <si>
    <t>Regulatory liabilities</t>
  </si>
  <si>
    <t>273 </t>
  </si>
  <si>
    <t>1,105 </t>
  </si>
  <si>
    <t>Total current liabilities</t>
  </si>
  <si>
    <t>7,495 </t>
  </si>
  <si>
    <t>Other liabilities and deferred credits:</t>
  </si>
  <si>
    <t>Long-term debt</t>
  </si>
  <si>
    <t>25,026 </t>
  </si>
  <si>
    <t>Asset retirement obligations</t>
  </si>
  <si>
    <t>2,276 </t>
  </si>
  <si>
    <t>9,438 </t>
  </si>
  <si>
    <t>10,465 </t>
  </si>
  <si>
    <t>365 </t>
  </si>
  <si>
    <t>Total other liabilities and deferred credits</t>
  </si>
  <si>
    <t>47,570 </t>
  </si>
  <si>
    <t>TOTAL LIABILITIES</t>
  </si>
  <si>
    <t>55,065 </t>
  </si>
  <si>
    <t>COMMITMENTS AND CONTINGENCIES</t>
  </si>
  <si>
    <t>EQUITY</t>
  </si>
  <si>
    <t>Common stock (no par value, 1,000 shares authorized, issued and outstanding)</t>
  </si>
  <si>
    <t>1,373 </t>
  </si>
  <si>
    <t>Additional paid-in capital</t>
  </si>
  <si>
    <t>26,868 </t>
  </si>
  <si>
    <t>Retained earnings</t>
  </si>
  <si>
    <t>14,835 </t>
  </si>
  <si>
    <t>TOTAL EQUITY</t>
  </si>
  <si>
    <t>43,076 </t>
  </si>
  <si>
    <t>TOTAL LIABILITIES AND EQUITY</t>
  </si>
  <si>
    <t>1,667 </t>
  </si>
  <si>
    <t>413 </t>
  </si>
  <si>
    <t>401 </t>
  </si>
  <si>
    <t>255 </t>
  </si>
  <si>
    <t>4,151 </t>
  </si>
  <si>
    <t>81,755 </t>
  </si>
  <si>
    <t>7,684 </t>
  </si>
  <si>
    <t>2,072 </t>
  </si>
  <si>
    <t>5,405 </t>
  </si>
  <si>
    <t>1,126 </t>
  </si>
  <si>
    <t>101,007 </t>
  </si>
  <si>
    <t>641 </t>
  </si>
  <si>
    <t>1,084 </t>
  </si>
  <si>
    <t>685 </t>
  </si>
  <si>
    <t>470 </t>
  </si>
  <si>
    <t>1,153 </t>
  </si>
  <si>
    <t>344 </t>
  </si>
  <si>
    <t>687 </t>
  </si>
  <si>
    <t>6,194 </t>
  </si>
  <si>
    <t>28,041 </t>
  </si>
  <si>
    <t>2,158 </t>
  </si>
  <si>
    <t>10,156 </t>
  </si>
  <si>
    <t>11,280 </t>
  </si>
  <si>
    <t>343 </t>
  </si>
  <si>
    <t>51,978 </t>
  </si>
  <si>
    <t>58,172 </t>
  </si>
  <si>
    <t>26,866 </t>
  </si>
  <si>
    <t>18,747 </t>
  </si>
  <si>
    <t>46,986 </t>
  </si>
  <si>
    <t>OPERATING INCOME(EBIT)</t>
  </si>
  <si>
    <t>x</t>
  </si>
  <si>
    <t>Overview</t>
  </si>
  <si>
    <t>Date</t>
  </si>
  <si>
    <t>Stock Price</t>
  </si>
  <si>
    <t>Delta</t>
  </si>
  <si>
    <t>NEE</t>
  </si>
  <si>
    <t>Cash Flow Statement</t>
  </si>
  <si>
    <t>%Tax rate</t>
  </si>
  <si>
    <t>%sales</t>
  </si>
  <si>
    <t>EBIAT</t>
  </si>
  <si>
    <t>Plus: D&amp;A</t>
  </si>
  <si>
    <t>Less: CapEx</t>
  </si>
  <si>
    <t>Less: Change in NWC</t>
  </si>
  <si>
    <t>Less: Capex</t>
  </si>
  <si>
    <t>Less: Change in WC</t>
  </si>
  <si>
    <t>FCF</t>
  </si>
  <si>
    <t>Discount period</t>
  </si>
  <si>
    <t>Discount TV</t>
  </si>
  <si>
    <t>Terminal Value (TV)</t>
  </si>
  <si>
    <t>Enterprise value</t>
  </si>
  <si>
    <t>Discounted FCF</t>
  </si>
  <si>
    <t>Plus: Cash</t>
  </si>
  <si>
    <t>Less: Debt</t>
  </si>
  <si>
    <t>Equity value</t>
  </si>
  <si>
    <t>TAXES(Benefits)</t>
  </si>
  <si>
    <t>Equity in earnings (losses) of equity method investees</t>
  </si>
  <si>
    <t>INCOME TAXES</t>
  </si>
  <si>
    <t>6,389 </t>
  </si>
  <si>
    <t>4,527 </t>
  </si>
  <si>
    <t>3,539 </t>
  </si>
  <si>
    <t>4,428 </t>
  </si>
  <si>
    <t>3,981 </t>
  </si>
  <si>
    <t>3,934 </t>
  </si>
  <si>
    <t>4,503 </t>
  </si>
  <si>
    <t>3,924 </t>
  </si>
  <si>
    <t>4,052 </t>
  </si>
  <si>
    <t>2,077 </t>
  </si>
  <si>
    <t>1,801 </t>
  </si>
  <si>
    <t>1,709 </t>
  </si>
  <si>
    <t>17,397 </t>
  </si>
  <si>
    <t>14,233 </t>
  </si>
  <si>
    <t>13,234 </t>
  </si>
  <si>
    <t>522 </t>
  </si>
  <si>
    <t>77 </t>
  </si>
  <si>
    <t>353 </t>
  </si>
  <si>
    <t>203 </t>
  </si>
  <si>
    <t>666 </t>
  </si>
  <si>
    <t>112 </t>
  </si>
  <si>
    <t>142 </t>
  </si>
  <si>
    <t>93 </t>
  </si>
  <si>
    <t>80 </t>
  </si>
  <si>
    <t>70 </t>
  </si>
  <si>
    <t>50 </t>
  </si>
  <si>
    <t>202 </t>
  </si>
  <si>
    <t>200 </t>
  </si>
  <si>
    <t>130 </t>
  </si>
  <si>
    <t>262 </t>
  </si>
  <si>
    <t>3,832 </t>
  </si>
  <si>
    <t>3,175 </t>
  </si>
  <si>
    <t>2,413 </t>
  </si>
  <si>
    <t>586 </t>
  </si>
  <si>
    <t>348 </t>
  </si>
  <si>
    <t>44 </t>
  </si>
  <si>
    <t>3,246 </t>
  </si>
  <si>
    <t>2,827 </t>
  </si>
  <si>
    <t>2,369 </t>
  </si>
  <si>
    <t>901 </t>
  </si>
  <si>
    <t>746 </t>
  </si>
  <si>
    <t>550 </t>
  </si>
  <si>
    <t>Line Items</t>
  </si>
  <si>
    <t>Adjustments to reconcile net income to net cash provided by (used in) operating activities:</t>
  </si>
  <si>
    <t>Unrealized losses on marked to market derivative contracts – net</t>
  </si>
  <si>
    <t>Equity in losses (earnings) of equity method investees</t>
  </si>
  <si>
    <t>Payments from (to) related parties under a cash sweep and credit support agreement – net</t>
  </si>
  <si>
    <t>Issuances of common stock/equity units – net</t>
  </si>
  <si>
    <t>Proceeds from sale of noncontrolling interests</t>
  </si>
  <si>
    <t>Decrease in property, plant and equipment – net and contract liabilities (2022 activity, see Note 1)</t>
  </si>
  <si>
    <t>Increase in property, plant and equipment related to an acquisition</t>
  </si>
  <si>
    <t>Decrease in joint venture investments related to an acquisition</t>
  </si>
  <si>
    <t>287 </t>
  </si>
  <si>
    <t>290 </t>
  </si>
  <si>
    <t>263 </t>
  </si>
  <si>
    <t>1,378 </t>
  </si>
  <si>
    <t>2,005 </t>
  </si>
  <si>
    <t>533 </t>
  </si>
  <si>
    <t>461 </t>
  </si>
  <si>
    <t>45 </t>
  </si>
  <si>
    <t>534 </t>
  </si>
  <si>
    <t>436 </t>
  </si>
  <si>
    <t>1,351 </t>
  </si>
  <si>
    <t>541 </t>
  </si>
  <si>
    <t>526 </t>
  </si>
  <si>
    <t>456 </t>
  </si>
  <si>
    <t>85 </t>
  </si>
  <si>
    <t>7,983 </t>
  </si>
  <si>
    <t>1,564 </t>
  </si>
  <si>
    <t>2,761 </t>
  </si>
  <si>
    <t>1,012 </t>
  </si>
  <si>
    <t>3,857 </t>
  </si>
  <si>
    <t>4,995 </t>
  </si>
  <si>
    <t>3,916 </t>
  </si>
  <si>
    <t>89 </t>
  </si>
  <si>
    <t>40 </t>
  </si>
  <si>
    <t>83 </t>
  </si>
  <si>
    <t>13,856 </t>
  </si>
  <si>
    <t>16,683 </t>
  </si>
  <si>
    <t>12,404 </t>
  </si>
  <si>
    <t>4,158 </t>
  </si>
  <si>
    <t>2,779 </t>
  </si>
  <si>
    <t>3,522 </t>
  </si>
  <si>
    <t>327 </t>
  </si>
  <si>
    <t>1,755 </t>
  </si>
  <si>
    <t>240 </t>
  </si>
  <si>
    <t>47 </t>
  </si>
  <si>
    <t>1,460 </t>
  </si>
  <si>
    <t>14 </t>
  </si>
  <si>
    <t>65 </t>
  </si>
  <si>
    <t>501 </t>
  </si>
  <si>
    <t>12,229 </t>
  </si>
  <si>
    <t>5,807 </t>
  </si>
  <si>
    <t>6,174 </t>
  </si>
  <si>
    <t>1 </t>
  </si>
  <si>
    <t>2,125 </t>
  </si>
  <si>
    <t>438 </t>
  </si>
  <si>
    <t>1,316 </t>
  </si>
  <si>
    <t>1,546 </t>
  </si>
  <si>
    <t>1,108 </t>
  </si>
  <si>
    <t>1,375 </t>
  </si>
  <si>
    <t>1,323 </t>
  </si>
  <si>
    <t>1,432 </t>
  </si>
  <si>
    <t>6,005 </t>
  </si>
  <si>
    <t>4,445 </t>
  </si>
  <si>
    <t>668 </t>
  </si>
  <si>
    <t>155 </t>
  </si>
  <si>
    <t>204 </t>
  </si>
  <si>
    <t>120 </t>
  </si>
  <si>
    <t>90 </t>
  </si>
  <si>
    <t>68 </t>
  </si>
  <si>
    <t>145 </t>
  </si>
  <si>
    <t>NextEraDCFModel</t>
  </si>
  <si>
    <t>TickerSymbol</t>
  </si>
  <si>
    <t>StockPrice</t>
  </si>
  <si>
    <t>StockPriceForecast</t>
  </si>
  <si>
    <t>IncomeStatement</t>
  </si>
  <si>
    <t>2026EST</t>
  </si>
  <si>
    <t>2027EST</t>
  </si>
  <si>
    <t>2028EST</t>
  </si>
  <si>
    <t>2029EST</t>
  </si>
  <si>
    <t>2030EST</t>
  </si>
  <si>
    <t>Scenario</t>
  </si>
  <si>
    <t>Case Selected</t>
  </si>
  <si>
    <t xml:space="preserve">%growth </t>
  </si>
  <si>
    <t>Revenue G% =AVG</t>
  </si>
  <si>
    <t>WACC calculation</t>
  </si>
  <si>
    <t>Formula used</t>
  </si>
  <si>
    <t>WACC = Re*E/V+Rd(1-t)*D/V</t>
  </si>
  <si>
    <t>Re=Rf+Be*(MRP)</t>
  </si>
  <si>
    <t>V=D+E</t>
  </si>
  <si>
    <t>Equity</t>
  </si>
  <si>
    <t>Debt</t>
  </si>
  <si>
    <t>Value(E+D)</t>
  </si>
  <si>
    <t>E/V</t>
  </si>
  <si>
    <t>D/V</t>
  </si>
  <si>
    <t>Re</t>
  </si>
  <si>
    <t>Rf</t>
  </si>
  <si>
    <t>Beta Equity</t>
  </si>
  <si>
    <t>MRP</t>
  </si>
  <si>
    <t>Rd</t>
  </si>
  <si>
    <t>1-t</t>
  </si>
  <si>
    <t>Nathan T. Scott</t>
  </si>
  <si>
    <t>Items</t>
  </si>
  <si>
    <t>Value</t>
  </si>
  <si>
    <t>Source</t>
  </si>
  <si>
    <t>Yahoo Finance</t>
  </si>
  <si>
    <t>U.S. Treasury Yeild</t>
  </si>
  <si>
    <t>Damodaran</t>
  </si>
  <si>
    <t>Google</t>
  </si>
  <si>
    <t>U.S. Corp. Tax Rate</t>
  </si>
  <si>
    <t>2</t>
  </si>
  <si>
    <t>3</t>
  </si>
  <si>
    <t>Revenue G% =80%</t>
  </si>
  <si>
    <t>Revenue G% =110%</t>
  </si>
  <si>
    <t>Pessimistic Case</t>
  </si>
  <si>
    <t>Normal Case</t>
  </si>
  <si>
    <t>Optimistic Case</t>
  </si>
  <si>
    <t xml:space="preserve"> </t>
  </si>
  <si>
    <t>Values in millions</t>
  </si>
  <si>
    <t>Divided: Shares outstanding</t>
  </si>
  <si>
    <t>(Model 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</si>
</sst>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right"/>
    </xf>
    <xf numFmtId="10" fontId="0" fillId="0" borderId="0" xfId="0" applyNumberFormat="1"/>
    <xf numFmtId="44" fontId="0" fillId="0" borderId="0" xfId="0" applyNumberFormat="1"/>
    <xf numFmtId="9" fontId="0" fillId="0" borderId="0" xfId="0" applyNumberFormat="1"/>
    <xf numFmtId="0" fontId="4" fillId="0" borderId="0" xfId="0" applyFont="1"/>
    <xf numFmtId="9" fontId="0" fillId="0" borderId="0" xfId="2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4" xfId="0" applyBorder="1"/>
    <xf numFmtId="44" fontId="0" fillId="0" borderId="0" xfId="1" applyFont="1" applyFill="1" applyBorder="1" applyAlignment="1">
      <alignment horizontal="right"/>
    </xf>
    <xf numFmtId="9" fontId="0" fillId="0" borderId="0" xfId="2" applyFont="1" applyAlignment="1">
      <alignment horizontal="right"/>
    </xf>
    <xf numFmtId="43" fontId="0" fillId="0" borderId="0" xfId="0" applyNumberFormat="1"/>
    <xf numFmtId="9" fontId="0" fillId="0" borderId="0" xfId="2" applyFont="1" applyBorder="1"/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3" fontId="0" fillId="0" borderId="2" xfId="0" applyNumberFormat="1" applyBorder="1" applyAlignment="1">
      <alignment horizontal="left"/>
    </xf>
    <xf numFmtId="3" fontId="0" fillId="3" borderId="2" xfId="0" applyNumberFormat="1" applyFill="1" applyBorder="1"/>
    <xf numFmtId="3" fontId="0" fillId="3" borderId="2" xfId="0" applyNumberFormat="1" applyFill="1" applyBorder="1" applyAlignment="1">
      <alignment horizontal="left"/>
    </xf>
    <xf numFmtId="0" fontId="5" fillId="0" borderId="0" xfId="0" applyFont="1" applyAlignment="1">
      <alignment vertical="top"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10" fillId="4" borderId="0" xfId="0" applyNumberFormat="1" applyFont="1" applyFill="1"/>
    <xf numFmtId="0" fontId="0" fillId="0" borderId="0" xfId="0" applyAlignment="1">
      <alignment horizontal="right"/>
    </xf>
    <xf numFmtId="10" fontId="0" fillId="0" borderId="4" xfId="0" applyNumberFormat="1" applyBorder="1"/>
    <xf numFmtId="0" fontId="10" fillId="4" borderId="0" xfId="0" applyFont="1" applyFill="1" applyAlignment="1">
      <alignment horizontal="left"/>
    </xf>
    <xf numFmtId="9" fontId="4" fillId="0" borderId="0" xfId="2" applyFont="1"/>
    <xf numFmtId="9" fontId="4" fillId="0" borderId="0" xfId="0" applyNumberFormat="1" applyFont="1"/>
    <xf numFmtId="0" fontId="4" fillId="2" borderId="0" xfId="0" applyFont="1" applyFill="1"/>
    <xf numFmtId="0" fontId="4" fillId="5" borderId="0" xfId="3" applyFont="1" applyAlignment="1">
      <alignment horizontal="right"/>
    </xf>
    <xf numFmtId="0" fontId="11" fillId="0" borderId="0" xfId="0" applyFont="1" applyAlignment="1">
      <alignment horizontal="left" vertical="center"/>
    </xf>
    <xf numFmtId="0" fontId="4" fillId="2" borderId="0" xfId="0" applyFont="1" applyFill="1" applyAlignment="1">
      <alignment horizontal="right"/>
    </xf>
    <xf numFmtId="9" fontId="4" fillId="5" borderId="0" xfId="3" applyNumberFormat="1" applyFont="1"/>
    <xf numFmtId="43" fontId="4" fillId="5" borderId="0" xfId="3" applyNumberFormat="1" applyFont="1"/>
    <xf numFmtId="10" fontId="4" fillId="5" borderId="0" xfId="3" applyNumberFormat="1" applyFont="1"/>
    <xf numFmtId="0" fontId="0" fillId="0" borderId="5" xfId="0" applyBorder="1"/>
    <xf numFmtId="0" fontId="0" fillId="2" borderId="5" xfId="0" applyFill="1" applyBorder="1"/>
    <xf numFmtId="14" fontId="0" fillId="0" borderId="5" xfId="0" applyNumberFormat="1" applyBorder="1"/>
    <xf numFmtId="44" fontId="0" fillId="0" borderId="5" xfId="1" applyFont="1" applyBorder="1"/>
    <xf numFmtId="9" fontId="0" fillId="0" borderId="5" xfId="2" applyFont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10" fillId="4" borderId="0" xfId="0" applyFont="1" applyFill="1"/>
    <xf numFmtId="0" fontId="4" fillId="0" borderId="0" xfId="0" applyFont="1" applyAlignment="1">
      <alignment horizontal="center"/>
    </xf>
    <xf numFmtId="44" fontId="0" fillId="0" borderId="5" xfId="0" applyNumberFormat="1" applyBorder="1"/>
    <xf numFmtId="0" fontId="0" fillId="0" borderId="6" xfId="0" applyBorder="1"/>
    <xf numFmtId="0" fontId="0" fillId="2" borderId="5" xfId="0" applyFill="1" applyBorder="1" applyAlignment="1">
      <alignment horizontal="right"/>
    </xf>
    <xf numFmtId="0" fontId="3" fillId="0" borderId="5" xfId="0" applyFont="1" applyBorder="1" applyAlignment="1">
      <alignment horizontal="left" vertical="center"/>
    </xf>
    <xf numFmtId="49" fontId="10" fillId="4" borderId="5" xfId="0" applyNumberFormat="1" applyFont="1" applyFill="1" applyBorder="1"/>
    <xf numFmtId="49" fontId="0" fillId="0" borderId="5" xfId="0" applyNumberFormat="1" applyBorder="1"/>
    <xf numFmtId="9" fontId="0" fillId="0" borderId="5" xfId="2" applyFont="1" applyBorder="1" applyAlignment="1">
      <alignment horizontal="right"/>
    </xf>
    <xf numFmtId="43" fontId="0" fillId="0" borderId="5" xfId="0" applyNumberFormat="1" applyBorder="1"/>
    <xf numFmtId="10" fontId="0" fillId="0" borderId="5" xfId="0" applyNumberFormat="1" applyBorder="1"/>
    <xf numFmtId="0" fontId="0" fillId="4" borderId="5" xfId="0" applyFill="1" applyBorder="1"/>
    <xf numFmtId="0" fontId="4" fillId="0" borderId="5" xfId="0" applyFont="1" applyBorder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5" xfId="2" applyNumberFormat="1" applyFont="1" applyBorder="1" applyAlignment="1">
      <alignment horizontal="right"/>
    </xf>
    <xf numFmtId="43" fontId="0" fillId="0" borderId="4" xfId="0" applyNumberFormat="1" applyBorder="1"/>
    <xf numFmtId="43" fontId="0" fillId="0" borderId="0" xfId="1" applyNumberFormat="1" applyFont="1"/>
    <xf numFmtId="43" fontId="0" fillId="0" borderId="7" xfId="0" applyNumberFormat="1" applyBorder="1"/>
    <xf numFmtId="43" fontId="0" fillId="0" borderId="0" xfId="1" applyNumberFormat="1" applyFont="1" applyAlignment="1">
      <alignment horizontal="right"/>
    </xf>
    <xf numFmtId="43" fontId="0" fillId="0" borderId="5" xfId="1" applyNumberFormat="1" applyFont="1" applyBorder="1" applyAlignment="1">
      <alignment horizontal="right"/>
    </xf>
    <xf numFmtId="43" fontId="0" fillId="0" borderId="5" xfId="1" applyNumberFormat="1" applyFont="1" applyBorder="1" applyAlignment="1"/>
    <xf numFmtId="43" fontId="0" fillId="0" borderId="0" xfId="1" applyNumberFormat="1" applyFont="1" applyBorder="1" applyAlignment="1">
      <alignment horizontal="right"/>
    </xf>
    <xf numFmtId="43" fontId="0" fillId="0" borderId="0" xfId="1" applyNumberFormat="1" applyFont="1" applyBorder="1"/>
    <xf numFmtId="43" fontId="0" fillId="0" borderId="5" xfId="1" applyNumberFormat="1" applyFont="1" applyBorder="1"/>
    <xf numFmtId="43" fontId="4" fillId="5" borderId="0" xfId="1" applyNumberFormat="1" applyFont="1" applyFill="1"/>
    <xf numFmtId="9" fontId="4" fillId="0" borderId="5" xfId="0" applyNumberFormat="1" applyFont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C7A8-B5A9-4C6A-822D-D84AAA0D77D1}">
  <dimension ref="A1:Y66"/>
  <sheetViews>
    <sheetView tabSelected="1" workbookViewId="0">
      <pane xSplit="3" ySplit="1" topLeftCell="D2" activePane="bottomRight" state="frozenSplit"/>
      <selection pane="topRight" activeCell="D1" sqref="D1"/>
      <selection pane="bottomLeft" activeCell="A16" sqref="A16"/>
      <selection pane="bottomRight" activeCell="C14" sqref="C14"/>
    </sheetView>
  </sheetViews>
  <sheetFormatPr defaultRowHeight="15" x14ac:dyDescent="0.25"/>
  <cols>
    <col min="1" max="1" width="4.42578125" customWidth="1"/>
    <col min="2" max="2" width="27.7109375" customWidth="1"/>
    <col min="3" max="3" width="27.7109375" style="47" customWidth="1"/>
    <col min="4" max="8" width="17.140625" customWidth="1"/>
    <col min="9" max="9" width="17.140625" style="47" customWidth="1"/>
    <col min="10" max="12" width="17.140625" customWidth="1"/>
    <col min="13" max="13" width="11.85546875" customWidth="1"/>
    <col min="14" max="14" width="12.7109375" customWidth="1"/>
  </cols>
  <sheetData>
    <row r="1" spans="1:25" ht="15" customHeight="1" x14ac:dyDescent="0.25">
      <c r="B1" s="12"/>
      <c r="D1" s="1">
        <v>2020</v>
      </c>
      <c r="E1" s="1">
        <v>2021</v>
      </c>
      <c r="F1" s="1">
        <v>2022</v>
      </c>
      <c r="G1" s="5">
        <v>2023</v>
      </c>
      <c r="H1" s="5">
        <v>2024</v>
      </c>
      <c r="I1" s="58">
        <v>2025</v>
      </c>
      <c r="J1" s="41" t="s">
        <v>420</v>
      </c>
      <c r="K1" s="41" t="s">
        <v>421</v>
      </c>
      <c r="L1" s="41" t="s">
        <v>422</v>
      </c>
      <c r="M1" s="41" t="s">
        <v>423</v>
      </c>
      <c r="N1" s="41" t="s">
        <v>424</v>
      </c>
    </row>
    <row r="2" spans="1:25" s="11" customFormat="1" ht="15" customHeight="1" x14ac:dyDescent="0.25">
      <c r="A2" s="12"/>
      <c r="B2" s="84" t="s">
        <v>415</v>
      </c>
      <c r="C2" s="85"/>
      <c r="I2" s="59"/>
      <c r="J2" s="42"/>
      <c r="K2" s="42"/>
      <c r="L2" s="42"/>
      <c r="M2" s="42"/>
      <c r="N2" s="42"/>
    </row>
    <row r="3" spans="1:25" x14ac:dyDescent="0.25">
      <c r="B3" t="s">
        <v>445</v>
      </c>
      <c r="C3" s="47" t="s">
        <v>464</v>
      </c>
      <c r="J3" s="9"/>
      <c r="K3" s="9"/>
      <c r="L3" s="9"/>
      <c r="M3" s="9"/>
      <c r="N3" s="9"/>
    </row>
    <row r="4" spans="1:25" s="1" customFormat="1" x14ac:dyDescent="0.25">
      <c r="A4" t="s">
        <v>276</v>
      </c>
      <c r="B4" s="1" t="s">
        <v>277</v>
      </c>
      <c r="C4" s="48"/>
      <c r="I4" s="48"/>
      <c r="J4" s="40"/>
      <c r="K4" s="40"/>
      <c r="L4" s="40"/>
      <c r="M4" s="40"/>
      <c r="N4" s="40"/>
    </row>
    <row r="5" spans="1:25" x14ac:dyDescent="0.25">
      <c r="B5" t="s">
        <v>416</v>
      </c>
      <c r="C5" s="47" t="s">
        <v>281</v>
      </c>
      <c r="J5" s="9"/>
      <c r="K5" s="9"/>
      <c r="L5" s="9"/>
      <c r="M5" s="9"/>
      <c r="N5" s="9"/>
    </row>
    <row r="6" spans="1:25" x14ac:dyDescent="0.25">
      <c r="B6" t="s">
        <v>278</v>
      </c>
      <c r="C6" s="49">
        <v>46143</v>
      </c>
      <c r="J6" s="9"/>
      <c r="K6" s="9"/>
      <c r="L6" s="9"/>
      <c r="M6" s="9"/>
      <c r="N6" s="9"/>
    </row>
    <row r="7" spans="1:25" x14ac:dyDescent="0.25">
      <c r="B7" t="s">
        <v>417</v>
      </c>
      <c r="C7" s="50">
        <v>98</v>
      </c>
      <c r="J7" s="9"/>
      <c r="K7" s="9"/>
      <c r="L7" s="9"/>
      <c r="M7" s="9"/>
      <c r="N7" s="9"/>
    </row>
    <row r="8" spans="1:25" x14ac:dyDescent="0.25">
      <c r="B8" t="s">
        <v>418</v>
      </c>
      <c r="C8" s="63">
        <f>N66</f>
        <v>99.895259132552653</v>
      </c>
      <c r="J8" s="9"/>
      <c r="K8" s="9"/>
      <c r="L8" s="9"/>
      <c r="M8" s="9"/>
      <c r="N8" s="9"/>
    </row>
    <row r="9" spans="1:25" x14ac:dyDescent="0.25">
      <c r="B9" t="s">
        <v>280</v>
      </c>
      <c r="C9" s="51">
        <f>C8/C7-1</f>
        <v>1.9339378903598492E-2</v>
      </c>
      <c r="J9" s="9"/>
      <c r="K9" s="9"/>
      <c r="L9" s="9"/>
      <c r="M9" s="9"/>
      <c r="N9" s="9"/>
    </row>
    <row r="10" spans="1:25" x14ac:dyDescent="0.25">
      <c r="J10" s="9"/>
      <c r="K10" s="9"/>
      <c r="L10" s="9"/>
      <c r="M10" s="9"/>
      <c r="N10" s="9"/>
    </row>
    <row r="11" spans="1:25" x14ac:dyDescent="0.25">
      <c r="A11" s="4" t="s">
        <v>276</v>
      </c>
      <c r="B11" s="82" t="s">
        <v>0</v>
      </c>
      <c r="C11" s="83"/>
      <c r="D11" s="1"/>
      <c r="E11" s="1"/>
      <c r="F11" s="1"/>
      <c r="G11" s="1"/>
      <c r="H11" s="1"/>
      <c r="I11" s="48"/>
      <c r="J11" s="40"/>
      <c r="K11" s="40"/>
      <c r="L11" s="40"/>
      <c r="M11" s="40"/>
      <c r="N11" s="40"/>
    </row>
    <row r="12" spans="1:25" x14ac:dyDescent="0.25">
      <c r="D12" s="13"/>
      <c r="J12" s="9"/>
      <c r="K12" s="9"/>
      <c r="L12" s="9"/>
      <c r="M12" s="9"/>
      <c r="N12" s="9"/>
    </row>
    <row r="13" spans="1:25" ht="15" customHeight="1" x14ac:dyDescent="0.25">
      <c r="B13" s="54" t="s">
        <v>425</v>
      </c>
      <c r="C13" s="65"/>
      <c r="E13" s="37">
        <v>1</v>
      </c>
      <c r="G13" s="34" t="s">
        <v>454</v>
      </c>
      <c r="I13" s="60" t="s">
        <v>455</v>
      </c>
      <c r="K13" s="9"/>
      <c r="L13" s="9"/>
      <c r="M13" s="9"/>
      <c r="N13" s="9"/>
      <c r="O13" s="32"/>
      <c r="P13" s="32"/>
      <c r="Q13" s="30"/>
      <c r="R13" s="30"/>
      <c r="S13" s="30"/>
      <c r="T13" s="30"/>
      <c r="U13" s="30"/>
      <c r="V13" s="30"/>
      <c r="W13" s="30"/>
      <c r="X13" s="30"/>
      <c r="Y13" s="30"/>
    </row>
    <row r="14" spans="1:25" x14ac:dyDescent="0.25">
      <c r="B14" s="9" t="s">
        <v>426</v>
      </c>
      <c r="C14" s="66">
        <v>1</v>
      </c>
      <c r="D14" s="9"/>
      <c r="E14" s="31" t="s">
        <v>456</v>
      </c>
      <c r="G14" s="31" t="s">
        <v>428</v>
      </c>
      <c r="I14" s="61" t="s">
        <v>457</v>
      </c>
      <c r="K14" s="9"/>
      <c r="L14" s="9"/>
      <c r="M14" s="9"/>
      <c r="N14" s="9"/>
      <c r="O14" s="32"/>
      <c r="P14" s="32"/>
      <c r="Q14" s="30"/>
      <c r="R14" s="30"/>
      <c r="S14" s="30"/>
      <c r="T14" s="30"/>
      <c r="U14" s="30"/>
      <c r="V14" s="30"/>
      <c r="W14" s="30"/>
      <c r="X14" s="30"/>
      <c r="Y14" s="30"/>
    </row>
    <row r="15" spans="1:25" x14ac:dyDescent="0.25">
      <c r="B15" t="s">
        <v>1</v>
      </c>
      <c r="C15" s="64">
        <v>6.4399999999999999E-2</v>
      </c>
      <c r="D15" s="9"/>
      <c r="E15" s="67">
        <v>6.4399999999999999E-2</v>
      </c>
      <c r="G15" s="67">
        <v>6.4399999999999999E-2</v>
      </c>
      <c r="I15" s="69">
        <v>6.4399999999999999E-2</v>
      </c>
      <c r="K15" s="9"/>
      <c r="L15" s="9"/>
      <c r="M15" s="9"/>
      <c r="N15" s="9"/>
      <c r="Q15" s="30"/>
      <c r="R15" s="30"/>
      <c r="S15" s="30"/>
      <c r="T15" s="30"/>
      <c r="U15" s="30"/>
      <c r="V15" s="30"/>
      <c r="W15" s="30"/>
      <c r="X15" s="30"/>
      <c r="Y15" s="30"/>
    </row>
    <row r="16" spans="1:25" x14ac:dyDescent="0.25">
      <c r="B16" t="s">
        <v>2</v>
      </c>
      <c r="C16" s="70">
        <f>CHOOSE(C14,E16,G16,I16)</f>
        <v>2.5000000000000001E-2</v>
      </c>
      <c r="D16" s="9"/>
      <c r="E16" s="67">
        <v>2.5000000000000001E-2</v>
      </c>
      <c r="G16" s="68">
        <v>0.03</v>
      </c>
      <c r="I16" s="69">
        <v>3.5000000000000003E-2</v>
      </c>
      <c r="K16" s="9"/>
      <c r="L16" s="9"/>
      <c r="M16" s="9"/>
      <c r="N16" s="9"/>
      <c r="Q16" s="30"/>
      <c r="R16" s="30"/>
      <c r="S16" s="30"/>
      <c r="T16" s="30"/>
      <c r="U16" s="30"/>
      <c r="V16" s="30"/>
      <c r="W16" s="30"/>
      <c r="X16" s="30"/>
      <c r="Y16" s="30"/>
    </row>
    <row r="17" spans="1:25" x14ac:dyDescent="0.25">
      <c r="D17" s="9"/>
      <c r="I17" s="81"/>
      <c r="K17" s="39"/>
      <c r="L17" s="39"/>
      <c r="M17" s="9"/>
      <c r="N17" s="9"/>
      <c r="Q17" s="30"/>
      <c r="R17" s="30"/>
      <c r="S17" s="30"/>
      <c r="T17" s="30"/>
      <c r="U17" s="30"/>
      <c r="V17" s="30"/>
      <c r="W17" s="30"/>
      <c r="X17" s="30"/>
      <c r="Y17" s="30"/>
    </row>
    <row r="18" spans="1:25" x14ac:dyDescent="0.25">
      <c r="A18" s="4" t="s">
        <v>276</v>
      </c>
      <c r="B18" s="82" t="s">
        <v>419</v>
      </c>
      <c r="C18" s="83"/>
      <c r="D18" s="1"/>
      <c r="E18" s="1"/>
      <c r="F18" s="1"/>
      <c r="G18" s="1"/>
      <c r="H18" s="5"/>
      <c r="I18" s="58"/>
      <c r="J18" s="43"/>
      <c r="K18" s="43"/>
      <c r="L18" s="43"/>
      <c r="M18" s="40"/>
      <c r="N18" s="40"/>
    </row>
    <row r="19" spans="1:25" x14ac:dyDescent="0.25">
      <c r="J19" s="9"/>
      <c r="K19" s="9"/>
      <c r="L19" s="9"/>
      <c r="M19" s="9"/>
      <c r="N19" s="9"/>
    </row>
    <row r="20" spans="1:25" x14ac:dyDescent="0.25">
      <c r="B20" t="s">
        <v>3</v>
      </c>
      <c r="D20" s="72">
        <f>'Income Statement20-22'!B2</f>
        <v>17997</v>
      </c>
      <c r="E20" s="72">
        <f>'Income Statement20-22'!C2</f>
        <v>17069</v>
      </c>
      <c r="F20" s="72">
        <f>'Income Statement20-22'!D2</f>
        <v>20956</v>
      </c>
      <c r="G20" s="17">
        <f>'Income Statement23-25'!B2</f>
        <v>28114</v>
      </c>
      <c r="H20" s="17">
        <f>'Income Statement23-25'!C2</f>
        <v>24753</v>
      </c>
      <c r="I20" s="63">
        <f>'Income Statement23-25'!D2</f>
        <v>27412</v>
      </c>
      <c r="J20" s="45">
        <f>J21*I20+I20</f>
        <v>29629.537754675261</v>
      </c>
      <c r="K20" s="45">
        <f t="shared" ref="K20:N20" si="0">K21*J20+J20</f>
        <v>32654.426938454446</v>
      </c>
      <c r="L20" s="45">
        <f t="shared" si="0"/>
        <v>35331.735163255194</v>
      </c>
      <c r="M20" s="45">
        <f t="shared" si="0"/>
        <v>36761.106857631501</v>
      </c>
      <c r="N20" s="45">
        <f t="shared" si="0"/>
        <v>39189.416976197754</v>
      </c>
    </row>
    <row r="21" spans="1:25" x14ac:dyDescent="0.25">
      <c r="B21" t="s">
        <v>427</v>
      </c>
      <c r="E21" s="10">
        <f>D20/E20-1</f>
        <v>5.43675669342083E-2</v>
      </c>
      <c r="F21" s="10">
        <f t="shared" ref="F21:I21" si="1">E20/F20-1</f>
        <v>-0.18548387096774188</v>
      </c>
      <c r="G21" s="10">
        <f t="shared" si="1"/>
        <v>-0.25460624599843495</v>
      </c>
      <c r="H21" s="10">
        <f t="shared" si="1"/>
        <v>0.13578152143174571</v>
      </c>
      <c r="I21" s="51">
        <f t="shared" si="1"/>
        <v>-9.7001313293448077E-2</v>
      </c>
      <c r="J21" s="44">
        <f>CHOOSE(C14,J23,J24,J25)</f>
        <v>8.0896605671795588E-2</v>
      </c>
      <c r="K21" s="44">
        <f>CHOOSE(C14,K23,K24,K25)</f>
        <v>0.10209032651216057</v>
      </c>
      <c r="L21" s="44">
        <f>CHOOSE(C14,L23,L24,L25)</f>
        <v>8.1989135189749832E-2</v>
      </c>
      <c r="M21" s="44">
        <f>CHOOSE(C14,M23,M24,M25)</f>
        <v>4.0455745741659714E-2</v>
      </c>
      <c r="N21" s="44">
        <f>CHOOSE(C14,N23,N24,N25)</f>
        <v>6.605650172533202E-2</v>
      </c>
    </row>
    <row r="22" spans="1:25" x14ac:dyDescent="0.25">
      <c r="J22" s="9"/>
      <c r="K22" s="9"/>
      <c r="L22" s="9"/>
      <c r="M22" s="9"/>
      <c r="N22" s="9"/>
    </row>
    <row r="23" spans="1:25" x14ac:dyDescent="0.25">
      <c r="B23" s="55" t="s">
        <v>458</v>
      </c>
      <c r="C23" s="56"/>
      <c r="E23" s="10">
        <f>E20/D20-1</f>
        <v>-5.1564149580485608E-2</v>
      </c>
      <c r="F23" s="10">
        <f>F20/E20-1</f>
        <v>0.2277227722772277</v>
      </c>
      <c r="G23" s="10">
        <f>G20/F20-1</f>
        <v>0.34157281924031313</v>
      </c>
      <c r="H23" s="10">
        <f>H20/G20-1</f>
        <v>-0.11954897915629226</v>
      </c>
      <c r="I23" s="51">
        <f>I20/H20-1</f>
        <v>0.10742132266795945</v>
      </c>
      <c r="J23" s="44">
        <f>AVERAGE(E23:I23)*0.8</f>
        <v>8.0896605671795588E-2</v>
      </c>
      <c r="K23" s="44">
        <f t="shared" ref="K23:N23" si="2">AVERAGE(F23:J23)*0.8</f>
        <v>0.10209032651216057</v>
      </c>
      <c r="L23" s="44">
        <f t="shared" si="2"/>
        <v>8.1989135189749832E-2</v>
      </c>
      <c r="M23" s="44">
        <f t="shared" si="2"/>
        <v>4.0455745741659714E-2</v>
      </c>
      <c r="N23" s="44">
        <f t="shared" si="2"/>
        <v>6.605650172533202E-2</v>
      </c>
    </row>
    <row r="24" spans="1:25" x14ac:dyDescent="0.25">
      <c r="B24" s="55" t="s">
        <v>459</v>
      </c>
      <c r="C24" s="56"/>
      <c r="E24" s="10">
        <f>E20/D20-1</f>
        <v>-5.1564149580485608E-2</v>
      </c>
      <c r="F24" s="10">
        <f>F20/E20-1</f>
        <v>0.2277227722772277</v>
      </c>
      <c r="G24" s="10">
        <f>G20/F20-1</f>
        <v>0.34157281924031313</v>
      </c>
      <c r="H24" s="10">
        <f>H20/G20-1</f>
        <v>-0.11954897915629226</v>
      </c>
      <c r="I24" s="51">
        <f>I20/H20-1</f>
        <v>0.10742132266795945</v>
      </c>
      <c r="J24" s="44">
        <f>AVERAGE(E24:I24)</f>
        <v>0.10112075708974448</v>
      </c>
      <c r="K24" s="44">
        <f t="shared" ref="K24:N24" si="3">AVERAGE(F24:J24)</f>
        <v>0.1316577384237905</v>
      </c>
      <c r="L24" s="44">
        <f t="shared" si="3"/>
        <v>0.11244473165310306</v>
      </c>
      <c r="M24" s="44">
        <f t="shared" si="3"/>
        <v>6.6619114135661045E-2</v>
      </c>
      <c r="N24" s="44">
        <f t="shared" si="3"/>
        <v>0.10385273279405172</v>
      </c>
    </row>
    <row r="25" spans="1:25" x14ac:dyDescent="0.25">
      <c r="B25" s="55" t="s">
        <v>460</v>
      </c>
      <c r="C25" s="56"/>
      <c r="E25" s="10">
        <f>E20/D20-1</f>
        <v>-5.1564149580485608E-2</v>
      </c>
      <c r="F25" s="10">
        <f>F20/E20-1</f>
        <v>0.2277227722772277</v>
      </c>
      <c r="G25" s="10">
        <f>G20/F20-1</f>
        <v>0.34157281924031313</v>
      </c>
      <c r="H25" s="10">
        <f>H20/G20-1</f>
        <v>-0.11954897915629226</v>
      </c>
      <c r="I25" s="51">
        <f>I20/H20-1</f>
        <v>0.10742132266795945</v>
      </c>
      <c r="J25" s="44">
        <f>AVERAGE(E25:I25)*1.1</f>
        <v>0.11123283279871894</v>
      </c>
      <c r="K25" s="44">
        <f t="shared" ref="K25:N25" si="4">AVERAGE(F25:J25)*1.1</f>
        <v>0.14704816892214395</v>
      </c>
      <c r="L25" s="44">
        <f t="shared" si="4"/>
        <v>0.1292997561840255</v>
      </c>
      <c r="M25" s="44">
        <f t="shared" si="4"/>
        <v>8.2599682311642234E-2</v>
      </c>
      <c r="N25" s="44">
        <f t="shared" si="4"/>
        <v>0.12707238783458782</v>
      </c>
    </row>
    <row r="26" spans="1:25" x14ac:dyDescent="0.25">
      <c r="I26" s="47" t="s">
        <v>461</v>
      </c>
      <c r="J26" s="9"/>
      <c r="K26" s="9"/>
      <c r="L26" s="9"/>
      <c r="M26" s="9"/>
      <c r="N26" s="9"/>
      <c r="O26" s="6"/>
      <c r="P26" s="8"/>
      <c r="Q26" s="8"/>
      <c r="R26" s="8"/>
      <c r="S26" s="8"/>
      <c r="T26" s="8"/>
    </row>
    <row r="27" spans="1:25" x14ac:dyDescent="0.25">
      <c r="B27" s="9" t="s">
        <v>4</v>
      </c>
      <c r="D27" s="72">
        <f>'Income Statement20-22'!B10</f>
        <v>5116</v>
      </c>
      <c r="E27" s="72">
        <f>'Income Statement20-22'!C10</f>
        <v>2913</v>
      </c>
      <c r="F27" s="72">
        <f>'Income Statement20-22'!D10</f>
        <v>4081</v>
      </c>
      <c r="G27" s="74">
        <f>'Income Statement23-25'!B10</f>
        <v>10237</v>
      </c>
      <c r="H27" s="74">
        <f>'Income Statement23-25'!C10</f>
        <v>7479</v>
      </c>
      <c r="I27" s="75">
        <f>'Income Statement23-25'!D10</f>
        <v>8280</v>
      </c>
      <c r="J27" s="45">
        <f>J20*J28</f>
        <v>7990.0915090537173</v>
      </c>
      <c r="K27" s="45">
        <f>K20*K28</f>
        <v>8726.3261700891107</v>
      </c>
      <c r="L27" s="45">
        <f>L20*L28</f>
        <v>10010.467931372288</v>
      </c>
      <c r="M27" s="45">
        <f>M20*M28</f>
        <v>10958.205681296731</v>
      </c>
      <c r="N27" s="45">
        <f>N20*N28</f>
        <v>11250.772121337406</v>
      </c>
      <c r="P27" s="7"/>
    </row>
    <row r="28" spans="1:25" x14ac:dyDescent="0.25">
      <c r="B28" s="55" t="s">
        <v>284</v>
      </c>
      <c r="D28" s="16">
        <f>D27/D20</f>
        <v>0.28426960048897038</v>
      </c>
      <c r="E28" s="16">
        <f>E27/E20</f>
        <v>0.17066026129240142</v>
      </c>
      <c r="F28" s="16">
        <f>F27/F20</f>
        <v>0.19474136285550678</v>
      </c>
      <c r="G28" s="16">
        <f>(G27/G20)</f>
        <v>0.36412463541296153</v>
      </c>
      <c r="H28" s="16">
        <f>(7479/H20)</f>
        <v>0.30214519452187616</v>
      </c>
      <c r="I28" s="62">
        <f>I27/I20</f>
        <v>0.30205749306872903</v>
      </c>
      <c r="J28" s="44">
        <f>AVERAGE(D28:I28)</f>
        <v>0.26966642460674084</v>
      </c>
      <c r="K28" s="44">
        <f t="shared" ref="K28:N28" si="5">AVERAGE(E28:J28)</f>
        <v>0.26723256195970263</v>
      </c>
      <c r="L28" s="44">
        <f t="shared" si="5"/>
        <v>0.28332794540425282</v>
      </c>
      <c r="M28" s="44">
        <f t="shared" si="5"/>
        <v>0.29809237582904385</v>
      </c>
      <c r="N28" s="44">
        <f t="shared" si="5"/>
        <v>0.28708699923172426</v>
      </c>
      <c r="P28" s="7"/>
    </row>
    <row r="29" spans="1:25" x14ac:dyDescent="0.25">
      <c r="B29" s="55"/>
      <c r="D29" s="16"/>
      <c r="E29" s="16"/>
      <c r="F29" s="16"/>
      <c r="G29" s="16"/>
      <c r="H29" s="16"/>
      <c r="I29" s="62"/>
      <c r="J29" s="39"/>
      <c r="K29" s="39"/>
      <c r="L29" s="39"/>
      <c r="M29" s="39"/>
      <c r="N29" s="39"/>
      <c r="P29" s="7"/>
    </row>
    <row r="30" spans="1:25" x14ac:dyDescent="0.25">
      <c r="B30" s="9"/>
      <c r="J30" s="9"/>
      <c r="K30" s="9"/>
      <c r="L30" s="9"/>
      <c r="M30" s="9"/>
      <c r="N30" s="9"/>
      <c r="O30" s="15"/>
    </row>
    <row r="31" spans="1:25" x14ac:dyDescent="0.25">
      <c r="B31" t="s">
        <v>300</v>
      </c>
      <c r="D31" s="72">
        <v>44</v>
      </c>
      <c r="E31" s="72">
        <v>348</v>
      </c>
      <c r="F31" s="72">
        <v>586</v>
      </c>
      <c r="G31" s="74">
        <v>1006</v>
      </c>
      <c r="H31" s="74">
        <v>339</v>
      </c>
      <c r="I31" s="76">
        <v>-802</v>
      </c>
      <c r="J31" s="45">
        <f>J20*J32</f>
        <v>1572.3170275003909</v>
      </c>
      <c r="K31" s="45">
        <f>K20*K32</f>
        <v>-61.946087242444278</v>
      </c>
      <c r="L31" s="45">
        <f>L20*L32</f>
        <v>1610.5767370635781</v>
      </c>
      <c r="M31" s="45">
        <f>M20*M32</f>
        <v>1538.2207774436044</v>
      </c>
      <c r="N31" s="45">
        <f>N20*N32</f>
        <v>2496.9169369703482</v>
      </c>
    </row>
    <row r="32" spans="1:25" x14ac:dyDescent="0.25">
      <c r="B32" s="55" t="s">
        <v>283</v>
      </c>
      <c r="D32" s="10">
        <f>D31/D27</f>
        <v>8.6004691164972627E-3</v>
      </c>
      <c r="E32" s="10">
        <f t="shared" ref="E32:F32" si="6">E31/E27</f>
        <v>0.11946446961894953</v>
      </c>
      <c r="F32" s="10">
        <f t="shared" si="6"/>
        <v>0.14359225679980397</v>
      </c>
      <c r="G32" s="10">
        <f>G31/G27</f>
        <v>9.827097782553483E-2</v>
      </c>
      <c r="H32" s="10">
        <f t="shared" ref="H32:I32" si="7">H31/H27</f>
        <v>4.5326915363016446E-2</v>
      </c>
      <c r="I32" s="51">
        <f t="shared" si="7"/>
        <v>-9.6859903381642506E-2</v>
      </c>
      <c r="J32" s="44">
        <f>AVERAGE(D32:I32)</f>
        <v>5.306586422369327E-2</v>
      </c>
      <c r="K32" s="44">
        <f>AVERAGE(I32:J32)+0.02</f>
        <v>-1.897019578974618E-3</v>
      </c>
      <c r="L32" s="44">
        <f t="shared" ref="L32:N32" si="8">AVERAGE(J32:K32)+0.02</f>
        <v>4.5584422322359326E-2</v>
      </c>
      <c r="M32" s="44">
        <f t="shared" si="8"/>
        <v>4.1843701371692354E-2</v>
      </c>
      <c r="N32" s="44">
        <f t="shared" si="8"/>
        <v>6.3714061847025841E-2</v>
      </c>
    </row>
    <row r="33" spans="1:14" x14ac:dyDescent="0.25">
      <c r="B33" s="55"/>
      <c r="D33" s="10"/>
      <c r="E33" s="10"/>
      <c r="F33" s="10"/>
      <c r="G33" s="10"/>
      <c r="H33" s="10"/>
      <c r="I33" s="51"/>
      <c r="J33" s="38"/>
      <c r="K33" s="38"/>
      <c r="L33" s="38"/>
      <c r="M33" s="38"/>
      <c r="N33" s="38"/>
    </row>
    <row r="34" spans="1:14" x14ac:dyDescent="0.25">
      <c r="B34" s="9"/>
      <c r="J34" s="9"/>
      <c r="K34" s="9"/>
      <c r="L34" s="9"/>
      <c r="M34" s="9"/>
      <c r="N34" s="9"/>
    </row>
    <row r="35" spans="1:14" x14ac:dyDescent="0.25">
      <c r="B35" s="9" t="s">
        <v>285</v>
      </c>
      <c r="D35" s="17">
        <f>D27-D31</f>
        <v>5072</v>
      </c>
      <c r="E35" s="17">
        <f t="shared" ref="E35:N35" si="9">E27-E31</f>
        <v>2565</v>
      </c>
      <c r="F35" s="17">
        <f t="shared" si="9"/>
        <v>3495</v>
      </c>
      <c r="G35" s="17">
        <f t="shared" si="9"/>
        <v>9231</v>
      </c>
      <c r="H35" s="17">
        <f t="shared" si="9"/>
        <v>7140</v>
      </c>
      <c r="I35" s="63">
        <f t="shared" si="9"/>
        <v>9082</v>
      </c>
      <c r="J35" s="45">
        <f t="shared" si="9"/>
        <v>6417.774481553326</v>
      </c>
      <c r="K35" s="45">
        <f t="shared" si="9"/>
        <v>8788.272257331555</v>
      </c>
      <c r="L35" s="45">
        <f t="shared" si="9"/>
        <v>8399.8911943087096</v>
      </c>
      <c r="M35" s="45">
        <f t="shared" si="9"/>
        <v>9419.9849038531265</v>
      </c>
      <c r="N35" s="45">
        <f t="shared" si="9"/>
        <v>8753.8551843670575</v>
      </c>
    </row>
    <row r="36" spans="1:14" x14ac:dyDescent="0.25">
      <c r="B36" s="4" t="s">
        <v>284</v>
      </c>
      <c r="D36" s="6">
        <f t="shared" ref="D36:N36" si="10">D35/D20</f>
        <v>0.28182474856920597</v>
      </c>
      <c r="E36" s="6">
        <f t="shared" si="10"/>
        <v>0.15027242369207336</v>
      </c>
      <c r="F36" s="6">
        <f t="shared" si="10"/>
        <v>0.16677801107081505</v>
      </c>
      <c r="G36" s="6">
        <f t="shared" si="10"/>
        <v>0.32834175144056343</v>
      </c>
      <c r="H36" s="6">
        <f t="shared" si="10"/>
        <v>0.28844988486244094</v>
      </c>
      <c r="I36" s="64">
        <f t="shared" si="10"/>
        <v>0.33131475266306726</v>
      </c>
      <c r="J36" s="46">
        <f t="shared" si="10"/>
        <v>0.21660056038304756</v>
      </c>
      <c r="K36" s="46">
        <f t="shared" si="10"/>
        <v>0.26912958153867728</v>
      </c>
      <c r="L36" s="46">
        <f t="shared" si="10"/>
        <v>0.2377435230818935</v>
      </c>
      <c r="M36" s="46">
        <f t="shared" si="10"/>
        <v>0.2562486744573515</v>
      </c>
      <c r="N36" s="46">
        <f t="shared" si="10"/>
        <v>0.22337293738469841</v>
      </c>
    </row>
    <row r="37" spans="1:14" x14ac:dyDescent="0.25">
      <c r="J37" s="9"/>
      <c r="K37" s="9"/>
      <c r="L37" s="9"/>
      <c r="M37" s="9"/>
      <c r="N37" s="9"/>
    </row>
    <row r="38" spans="1:14" x14ac:dyDescent="0.25">
      <c r="A38" t="s">
        <v>276</v>
      </c>
      <c r="B38" s="82" t="s">
        <v>282</v>
      </c>
      <c r="C38" s="83"/>
      <c r="D38" s="1"/>
      <c r="E38" s="1"/>
      <c r="F38" s="1"/>
      <c r="G38" s="1"/>
      <c r="H38" s="1"/>
      <c r="I38" s="48"/>
      <c r="J38" s="40"/>
      <c r="K38" s="40"/>
      <c r="L38" s="40"/>
      <c r="M38" s="40"/>
      <c r="N38" s="40"/>
    </row>
    <row r="39" spans="1:14" x14ac:dyDescent="0.25">
      <c r="J39" s="9"/>
      <c r="K39" s="9"/>
      <c r="L39" s="9"/>
      <c r="M39" s="9"/>
      <c r="N39" s="9"/>
    </row>
    <row r="40" spans="1:14" x14ac:dyDescent="0.25">
      <c r="B40" t="s">
        <v>286</v>
      </c>
      <c r="D40" s="77">
        <f>'Cashflow20-22'!B5</f>
        <v>4052</v>
      </c>
      <c r="E40" s="77">
        <f>'Cashflow20-22'!C5</f>
        <v>3924</v>
      </c>
      <c r="F40" s="77">
        <f>'Cashflow20-22'!D5</f>
        <v>4503</v>
      </c>
      <c r="G40" s="78">
        <f>'CashFlow23-25'!B5</f>
        <v>5879</v>
      </c>
      <c r="H40" s="78">
        <f>'CashFlow23-25'!C5</f>
        <v>5462</v>
      </c>
      <c r="I40" s="79">
        <f>'CashFlow23-25'!D5</f>
        <v>6580</v>
      </c>
      <c r="J40" s="45">
        <f>J20*J41</f>
        <v>6615.9387531456896</v>
      </c>
      <c r="K40" s="45">
        <f>K20*K41</f>
        <v>7281.2391706187755</v>
      </c>
      <c r="L40" s="45">
        <f>L20*L41</f>
        <v>7837.520567633147</v>
      </c>
      <c r="M40" s="45">
        <f>M20*M41</f>
        <v>8197.1618089091844</v>
      </c>
      <c r="N40" s="45">
        <f>N20*N41</f>
        <v>8829.241826631036</v>
      </c>
    </row>
    <row r="41" spans="1:14" x14ac:dyDescent="0.25">
      <c r="B41" s="4" t="s">
        <v>5</v>
      </c>
      <c r="D41" s="18">
        <f t="shared" ref="D41:I41" si="11">D40/D20</f>
        <v>0.22514863588375841</v>
      </c>
      <c r="E41" s="18">
        <f t="shared" si="11"/>
        <v>0.22989044466576836</v>
      </c>
      <c r="F41" s="18">
        <f t="shared" si="11"/>
        <v>0.21487879366291276</v>
      </c>
      <c r="G41" s="18">
        <f t="shared" si="11"/>
        <v>0.20911289748879561</v>
      </c>
      <c r="H41" s="18">
        <f t="shared" si="11"/>
        <v>0.22066012200541349</v>
      </c>
      <c r="I41" s="51">
        <f t="shared" si="11"/>
        <v>0.24004085801838612</v>
      </c>
      <c r="J41" s="44">
        <f>AVERAGE(D41:I41)</f>
        <v>0.22328862528750579</v>
      </c>
      <c r="K41" s="44">
        <f t="shared" ref="K41:N41" si="12">AVERAGE(E41:J41)</f>
        <v>0.22297862352146366</v>
      </c>
      <c r="L41" s="44">
        <f t="shared" si="12"/>
        <v>0.22182665333074625</v>
      </c>
      <c r="M41" s="44">
        <f t="shared" si="12"/>
        <v>0.22298462994205182</v>
      </c>
      <c r="N41" s="44">
        <f t="shared" si="12"/>
        <v>0.22529658535092781</v>
      </c>
    </row>
    <row r="42" spans="1:14" x14ac:dyDescent="0.25">
      <c r="J42" s="9"/>
      <c r="K42" s="9"/>
      <c r="L42" s="9"/>
      <c r="M42" s="9"/>
      <c r="N42" s="9"/>
    </row>
    <row r="43" spans="1:14" x14ac:dyDescent="0.25">
      <c r="B43" t="s">
        <v>287</v>
      </c>
      <c r="D43" s="72">
        <f>-'Cashflow20-22'!B24+-'Cashflow20-22'!B27</f>
        <v>7514</v>
      </c>
      <c r="E43" s="72">
        <f>-'Cashflow20-22'!C24+'Cashflow20-22'!C27</f>
        <v>7261</v>
      </c>
      <c r="F43" s="72">
        <f>-'Cashflow20-22'!D24+'Cashflow20-22'!D27</f>
        <v>8615</v>
      </c>
      <c r="G43" s="72">
        <f>-'CashFlow23-25'!B24+'CashFlow23-25'!B27</f>
        <v>9241</v>
      </c>
      <c r="H43" s="72">
        <f>-'CashFlow23-25'!C24+'CashFlow23-25'!C27</f>
        <v>7869</v>
      </c>
      <c r="I43" s="79">
        <f>-'CashFlow23-25'!D24+'CashFlow23-25'!D27</f>
        <v>8717</v>
      </c>
      <c r="J43" s="45">
        <f>J20*J44</f>
        <v>10673.082337336235</v>
      </c>
      <c r="K43" s="45">
        <f>K20*K44</f>
        <v>11337.060701048355</v>
      </c>
      <c r="L43" s="45">
        <f>L20*L44</f>
        <v>11814.920450613419</v>
      </c>
      <c r="M43" s="45">
        <f>M20*M44</f>
        <v>12334.825853912989</v>
      </c>
      <c r="N43" s="45">
        <f>N20*N44</f>
        <v>13287.87568319731</v>
      </c>
    </row>
    <row r="44" spans="1:14" x14ac:dyDescent="0.25">
      <c r="B44" s="4" t="s">
        <v>5</v>
      </c>
      <c r="D44" s="10">
        <f t="shared" ref="D44:I44" si="13">D43/D20</f>
        <v>0.41751403011613047</v>
      </c>
      <c r="E44" s="10">
        <f t="shared" si="13"/>
        <v>0.42539105981604075</v>
      </c>
      <c r="F44" s="10">
        <f t="shared" si="13"/>
        <v>0.41109944645924795</v>
      </c>
      <c r="G44" s="10">
        <f t="shared" si="13"/>
        <v>0.32869744611225726</v>
      </c>
      <c r="H44" s="10">
        <f t="shared" si="13"/>
        <v>0.31790086050175737</v>
      </c>
      <c r="I44" s="51">
        <f t="shared" si="13"/>
        <v>0.31799941631402306</v>
      </c>
      <c r="J44" s="44">
        <f>AVERAGE(E44:I44)</f>
        <v>0.36021764584066529</v>
      </c>
      <c r="K44" s="44">
        <f t="shared" ref="K44:N44" si="14">AVERAGE(F44:J44)</f>
        <v>0.34718296304559021</v>
      </c>
      <c r="L44" s="44">
        <f t="shared" si="14"/>
        <v>0.33439966636285867</v>
      </c>
      <c r="M44" s="44">
        <f t="shared" si="14"/>
        <v>0.33554011041297888</v>
      </c>
      <c r="N44" s="44">
        <f t="shared" si="14"/>
        <v>0.33906796039522324</v>
      </c>
    </row>
    <row r="45" spans="1:14" x14ac:dyDescent="0.25">
      <c r="J45" s="9"/>
      <c r="K45" s="9"/>
      <c r="L45" s="9"/>
      <c r="M45" s="9"/>
      <c r="N45" s="9"/>
    </row>
    <row r="46" spans="1:14" x14ac:dyDescent="0.25">
      <c r="B46" t="s">
        <v>288</v>
      </c>
      <c r="D46" s="72">
        <f>'Cashflow20-22'!B18-'Cashflow20-22'!B20</f>
        <v>-358</v>
      </c>
      <c r="E46" s="72">
        <f>'Cashflow20-22'!C18-'Cashflow20-22'!C20</f>
        <v>-2320</v>
      </c>
      <c r="F46" s="72">
        <f>'Cashflow20-22'!D18-'Cashflow20-22'!D20</f>
        <v>-3042</v>
      </c>
      <c r="G46" s="72">
        <f>'CashFlow23-25'!B18-'CashFlow23-25'!B20</f>
        <v>1167</v>
      </c>
      <c r="H46" s="72">
        <f>'CashFlow23-25'!C18-'CashFlow23-25'!C20</f>
        <v>-1149</v>
      </c>
      <c r="I46" s="79">
        <f>'CashFlow23-25'!D18-'CashFlow23-25'!D20</f>
        <v>-1407</v>
      </c>
      <c r="J46" s="80">
        <f>J47*J20</f>
        <v>-1998.9101928780856</v>
      </c>
      <c r="K46" s="80">
        <f>K47*K20</f>
        <v>-1755.904633427677</v>
      </c>
      <c r="L46" s="80">
        <f>L47*L20</f>
        <v>-1254.0836298309405</v>
      </c>
      <c r="M46" s="80">
        <f>M47*M20</f>
        <v>-1870.9697563026434</v>
      </c>
      <c r="N46" s="80">
        <f>N47*N20</f>
        <v>-2029.647668894228</v>
      </c>
    </row>
    <row r="47" spans="1:14" x14ac:dyDescent="0.25">
      <c r="B47" s="4" t="s">
        <v>5</v>
      </c>
      <c r="D47" s="10">
        <f t="shared" ref="D47:I47" si="15">D46/D20</f>
        <v>-1.9892204256264933E-2</v>
      </c>
      <c r="E47" s="10">
        <f t="shared" si="15"/>
        <v>-0.13591891733552053</v>
      </c>
      <c r="F47" s="10">
        <f t="shared" si="15"/>
        <v>-0.14516129032258066</v>
      </c>
      <c r="G47" s="10">
        <f t="shared" si="15"/>
        <v>4.1509568186668566E-2</v>
      </c>
      <c r="H47" s="10">
        <f t="shared" si="15"/>
        <v>-4.6418615925342382E-2</v>
      </c>
      <c r="I47" s="51">
        <f t="shared" si="15"/>
        <v>-5.1327885597548521E-2</v>
      </c>
      <c r="J47" s="44">
        <f>AVERAGE(E47:I47)</f>
        <v>-6.7463428198864708E-2</v>
      </c>
      <c r="K47" s="44">
        <f t="shared" ref="K47:N47" si="16">AVERAGE(F47:J47)</f>
        <v>-5.377233037153354E-2</v>
      </c>
      <c r="L47" s="44">
        <f t="shared" si="16"/>
        <v>-3.5494538381324117E-2</v>
      </c>
      <c r="M47" s="44">
        <f t="shared" si="16"/>
        <v>-5.0895359694922662E-2</v>
      </c>
      <c r="N47" s="44">
        <f t="shared" si="16"/>
        <v>-5.1790708448838707E-2</v>
      </c>
    </row>
    <row r="49" spans="1:14" x14ac:dyDescent="0.25">
      <c r="A49" s="4" t="s">
        <v>276</v>
      </c>
      <c r="B49" s="52" t="s">
        <v>6</v>
      </c>
      <c r="C49" s="53"/>
      <c r="D49" s="1"/>
      <c r="E49" s="1"/>
      <c r="F49" s="1"/>
      <c r="G49" s="1"/>
      <c r="H49" s="1"/>
      <c r="I49" s="48"/>
      <c r="J49" s="1"/>
      <c r="K49" s="1"/>
      <c r="L49" s="1"/>
      <c r="M49" s="1"/>
      <c r="N49" s="1"/>
    </row>
    <row r="51" spans="1:14" x14ac:dyDescent="0.25">
      <c r="B51" t="s">
        <v>285</v>
      </c>
      <c r="J51" s="17">
        <f>J35</f>
        <v>6417.774481553326</v>
      </c>
      <c r="K51" s="17">
        <f t="shared" ref="K51:N51" si="17">K35</f>
        <v>8788.272257331555</v>
      </c>
      <c r="L51" s="17">
        <f t="shared" si="17"/>
        <v>8399.8911943087096</v>
      </c>
      <c r="M51" s="17">
        <f t="shared" si="17"/>
        <v>9419.9849038531265</v>
      </c>
      <c r="N51" s="17">
        <f t="shared" si="17"/>
        <v>8753.8551843670575</v>
      </c>
    </row>
    <row r="52" spans="1:14" x14ac:dyDescent="0.25">
      <c r="B52" t="s">
        <v>286</v>
      </c>
      <c r="J52" s="17">
        <f>J40</f>
        <v>6615.9387531456896</v>
      </c>
      <c r="K52" s="17">
        <f t="shared" ref="K52:N52" si="18">K40</f>
        <v>7281.2391706187755</v>
      </c>
      <c r="L52" s="17">
        <f t="shared" si="18"/>
        <v>7837.520567633147</v>
      </c>
      <c r="M52" s="17">
        <f t="shared" si="18"/>
        <v>8197.1618089091844</v>
      </c>
      <c r="N52" s="17">
        <f t="shared" si="18"/>
        <v>8829.241826631036</v>
      </c>
    </row>
    <row r="53" spans="1:14" x14ac:dyDescent="0.25">
      <c r="B53" t="s">
        <v>289</v>
      </c>
      <c r="J53" s="17">
        <f>J43</f>
        <v>10673.082337336235</v>
      </c>
      <c r="K53" s="17">
        <f t="shared" ref="K53:N53" si="19">K43</f>
        <v>11337.060701048355</v>
      </c>
      <c r="L53" s="17">
        <f t="shared" si="19"/>
        <v>11814.920450613419</v>
      </c>
      <c r="M53" s="17">
        <f t="shared" si="19"/>
        <v>12334.825853912989</v>
      </c>
      <c r="N53" s="17">
        <f t="shared" si="19"/>
        <v>13287.87568319731</v>
      </c>
    </row>
    <row r="54" spans="1:14" x14ac:dyDescent="0.25">
      <c r="B54" s="14" t="s">
        <v>290</v>
      </c>
      <c r="C54" s="57"/>
      <c r="D54" s="14"/>
      <c r="E54" s="14"/>
      <c r="F54" s="14"/>
      <c r="G54" s="14"/>
      <c r="H54" s="14"/>
      <c r="I54" s="57"/>
      <c r="J54" s="71">
        <f>J46</f>
        <v>-1998.9101928780856</v>
      </c>
      <c r="K54" s="71">
        <f t="shared" ref="K54:N54" si="20">K46</f>
        <v>-1755.904633427677</v>
      </c>
      <c r="L54" s="71">
        <f t="shared" si="20"/>
        <v>-1254.0836298309405</v>
      </c>
      <c r="M54" s="71">
        <f t="shared" si="20"/>
        <v>-1870.9697563026434</v>
      </c>
      <c r="N54" s="71">
        <f t="shared" si="20"/>
        <v>-2029.647668894228</v>
      </c>
    </row>
    <row r="55" spans="1:14" x14ac:dyDescent="0.25">
      <c r="B55" s="13" t="s">
        <v>291</v>
      </c>
      <c r="J55" s="17">
        <f>J51+J52-J53-J54</f>
        <v>4359.5410902408657</v>
      </c>
      <c r="K55" s="17">
        <f t="shared" ref="K55:N55" si="21">K51+K52-K53-K54</f>
        <v>6488.3553603296532</v>
      </c>
      <c r="L55" s="17">
        <f t="shared" si="21"/>
        <v>5676.5749411593788</v>
      </c>
      <c r="M55" s="17">
        <f t="shared" si="21"/>
        <v>7153.2906151519655</v>
      </c>
      <c r="N55" s="17">
        <f t="shared" si="21"/>
        <v>6324.8689966950096</v>
      </c>
    </row>
    <row r="56" spans="1:14" x14ac:dyDescent="0.25">
      <c r="B56" s="13"/>
      <c r="J56" s="17"/>
      <c r="K56" s="17"/>
      <c r="L56" s="17"/>
      <c r="M56" s="17"/>
      <c r="N56" s="17"/>
    </row>
    <row r="57" spans="1:14" x14ac:dyDescent="0.25">
      <c r="B57" t="s">
        <v>292</v>
      </c>
      <c r="J57">
        <v>1</v>
      </c>
      <c r="K57">
        <f>1+J57</f>
        <v>2</v>
      </c>
      <c r="L57">
        <f t="shared" ref="L57:N57" si="22">1+K57</f>
        <v>3</v>
      </c>
      <c r="M57">
        <f t="shared" si="22"/>
        <v>4</v>
      </c>
      <c r="N57">
        <f t="shared" si="22"/>
        <v>5</v>
      </c>
    </row>
    <row r="58" spans="1:14" x14ac:dyDescent="0.25">
      <c r="B58" t="s">
        <v>296</v>
      </c>
      <c r="J58" s="17">
        <f>J55/(1+C15)^J57</f>
        <v>4095.77329034279</v>
      </c>
      <c r="K58" s="17">
        <f>K55/(1+C15)^K57</f>
        <v>5726.9698393839353</v>
      </c>
      <c r="L58" s="17">
        <f>L55/(1+C15)^L57</f>
        <v>4707.2989263649897</v>
      </c>
      <c r="M58" s="17">
        <f>M55/(1+C15)^M57</f>
        <v>5572.9661589343896</v>
      </c>
      <c r="N58" s="17">
        <f>N55/(1+C15)^N57</f>
        <v>4629.4266271783636</v>
      </c>
    </row>
    <row r="59" spans="1:14" x14ac:dyDescent="0.25">
      <c r="B59" t="s">
        <v>294</v>
      </c>
      <c r="J59" s="17">
        <f>(J58*(1+C16))/(C15-C16)</f>
        <v>106552.47773099899</v>
      </c>
      <c r="K59" s="17">
        <f>(K58*(1+C16))/(C15-C16)</f>
        <v>148988.42856265313</v>
      </c>
      <c r="L59" s="17">
        <f>(L58*(1+C16))/(C15-C16)</f>
        <v>122461.45684071355</v>
      </c>
      <c r="M59" s="17">
        <f>(M58*(1+C16))/(C15-C16)</f>
        <v>144981.98763725252</v>
      </c>
      <c r="N59" s="17">
        <f>(N58*(1+C16))/(C15-C16)</f>
        <v>120435.59118928485</v>
      </c>
    </row>
    <row r="60" spans="1:14" x14ac:dyDescent="0.25">
      <c r="B60" s="14" t="s">
        <v>293</v>
      </c>
      <c r="C60" s="57"/>
      <c r="D60" s="14"/>
      <c r="E60" s="14"/>
      <c r="F60" s="14"/>
      <c r="G60" s="14"/>
      <c r="H60" s="14"/>
      <c r="I60" s="57"/>
      <c r="J60" s="71">
        <f>J59/(1+C15)^J57</f>
        <v>100105.67242671833</v>
      </c>
      <c r="K60" s="71">
        <f>K59/(1+C15)^K57</f>
        <v>131505.164161072</v>
      </c>
      <c r="L60" s="71">
        <f>L59/(1+C15)^L57</f>
        <v>101551.14488625903</v>
      </c>
      <c r="M60" s="71">
        <f>M59/(1+C15)^M57</f>
        <v>112952.1718362742</v>
      </c>
      <c r="N60" s="71">
        <f>N59/(1+C15)^N57</f>
        <v>88151.664959856673</v>
      </c>
    </row>
    <row r="61" spans="1:14" x14ac:dyDescent="0.25">
      <c r="B61" s="13" t="s">
        <v>295</v>
      </c>
      <c r="J61" s="17"/>
      <c r="K61" s="17"/>
      <c r="L61" s="17"/>
      <c r="M61" s="17"/>
      <c r="N61" s="17">
        <f>N58+N60</f>
        <v>92781.091587035044</v>
      </c>
    </row>
    <row r="62" spans="1:14" x14ac:dyDescent="0.25">
      <c r="B62" t="s">
        <v>297</v>
      </c>
      <c r="J62" s="17"/>
      <c r="K62" s="17"/>
      <c r="L62" s="17"/>
      <c r="M62" s="17"/>
      <c r="N62" s="72">
        <f>200000</f>
        <v>200000</v>
      </c>
    </row>
    <row r="63" spans="1:14" x14ac:dyDescent="0.25">
      <c r="B63" s="14" t="s">
        <v>298</v>
      </c>
      <c r="C63" s="57"/>
      <c r="D63" s="14"/>
      <c r="E63" s="14"/>
      <c r="F63" s="14"/>
      <c r="G63" s="14"/>
      <c r="H63" s="14"/>
      <c r="I63" s="57"/>
      <c r="J63" s="73"/>
      <c r="K63" s="71"/>
      <c r="L63" s="71"/>
      <c r="M63" s="71"/>
      <c r="N63" s="71">
        <f>WACC!C11</f>
        <v>84000</v>
      </c>
    </row>
    <row r="64" spans="1:14" x14ac:dyDescent="0.25">
      <c r="B64" s="13" t="s">
        <v>299</v>
      </c>
      <c r="J64" s="17"/>
      <c r="K64" s="17"/>
      <c r="L64" s="17"/>
      <c r="M64" s="17"/>
      <c r="N64" s="17">
        <f>N61+N62-N63</f>
        <v>208781.09158703504</v>
      </c>
    </row>
    <row r="65" spans="2:14" x14ac:dyDescent="0.25">
      <c r="B65" s="14" t="s">
        <v>463</v>
      </c>
      <c r="C65" s="57"/>
      <c r="D65" s="14"/>
      <c r="E65" s="14"/>
      <c r="F65" s="14"/>
      <c r="G65" s="14"/>
      <c r="H65" s="14"/>
      <c r="I65" s="57"/>
      <c r="J65" s="73"/>
      <c r="K65" s="71"/>
      <c r="L65" s="71"/>
      <c r="M65" s="71"/>
      <c r="N65" s="71">
        <v>2090</v>
      </c>
    </row>
    <row r="66" spans="2:14" x14ac:dyDescent="0.25">
      <c r="B66" s="13" t="s">
        <v>279</v>
      </c>
      <c r="J66" s="17"/>
      <c r="K66" s="17"/>
      <c r="L66" s="17"/>
      <c r="M66" s="17"/>
      <c r="N66" s="17">
        <f>N64/N65</f>
        <v>99.895259132552653</v>
      </c>
    </row>
  </sheetData>
  <mergeCells count="4">
    <mergeCell ref="B38:C38"/>
    <mergeCell ref="B2:C2"/>
    <mergeCell ref="B11:C11"/>
    <mergeCell ref="B18:C18"/>
  </mergeCells>
  <phoneticPr fontId="6" type="noConversion"/>
  <dataValidations count="1">
    <dataValidation type="list" allowBlank="1" showInputMessage="1" showErrorMessage="1" sqref="C14" xr:uid="{BD9449F8-56D1-45C4-B53F-453A76EE7EDA}">
      <formula1>"1,2,3"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34E7-A0DA-46EC-9CF2-130DC1FB5223}">
  <dimension ref="B2:E24"/>
  <sheetViews>
    <sheetView workbookViewId="0">
      <selection activeCell="K24" sqref="K24"/>
    </sheetView>
  </sheetViews>
  <sheetFormatPr defaultRowHeight="15" x14ac:dyDescent="0.25"/>
  <cols>
    <col min="2" max="2" width="11.28515625" customWidth="1"/>
    <col min="3" max="3" width="20.42578125" bestFit="1" customWidth="1"/>
    <col min="4" max="4" width="18.140625" customWidth="1"/>
  </cols>
  <sheetData>
    <row r="2" spans="2:5" x14ac:dyDescent="0.25">
      <c r="B2" s="86" t="s">
        <v>429</v>
      </c>
      <c r="C2" s="87"/>
      <c r="D2" s="87"/>
      <c r="E2" s="87"/>
    </row>
    <row r="3" spans="2:5" x14ac:dyDescent="0.25">
      <c r="B3" s="87"/>
      <c r="C3" s="87"/>
      <c r="D3" s="87"/>
      <c r="E3" s="87"/>
    </row>
    <row r="4" spans="2:5" x14ac:dyDescent="0.25">
      <c r="B4" s="90" t="s">
        <v>462</v>
      </c>
      <c r="C4" s="90"/>
    </row>
    <row r="5" spans="2:5" x14ac:dyDescent="0.25">
      <c r="B5" s="88" t="s">
        <v>430</v>
      </c>
      <c r="C5" s="88"/>
    </row>
    <row r="6" spans="2:5" x14ac:dyDescent="0.25">
      <c r="B6" s="33" t="s">
        <v>431</v>
      </c>
      <c r="C6" s="33"/>
      <c r="D6" s="33"/>
      <c r="E6" s="33"/>
    </row>
    <row r="7" spans="2:5" x14ac:dyDescent="0.25">
      <c r="B7" s="33" t="s">
        <v>432</v>
      </c>
      <c r="C7" s="33"/>
    </row>
    <row r="8" spans="2:5" x14ac:dyDescent="0.25">
      <c r="B8" s="89" t="s">
        <v>433</v>
      </c>
      <c r="C8" s="89"/>
    </row>
    <row r="9" spans="2:5" x14ac:dyDescent="0.25">
      <c r="B9" s="14" t="s">
        <v>446</v>
      </c>
      <c r="C9" s="14" t="s">
        <v>447</v>
      </c>
      <c r="D9" s="14" t="s">
        <v>448</v>
      </c>
    </row>
    <row r="10" spans="2:5" x14ac:dyDescent="0.25">
      <c r="B10" t="s">
        <v>434</v>
      </c>
      <c r="C10">
        <v>188500</v>
      </c>
      <c r="D10" s="35" t="s">
        <v>449</v>
      </c>
    </row>
    <row r="11" spans="2:5" x14ac:dyDescent="0.25">
      <c r="B11" t="s">
        <v>435</v>
      </c>
      <c r="C11">
        <v>84000</v>
      </c>
      <c r="D11" s="35" t="s">
        <v>449</v>
      </c>
    </row>
    <row r="12" spans="2:5" x14ac:dyDescent="0.25">
      <c r="B12" t="s">
        <v>436</v>
      </c>
      <c r="C12">
        <f>SUM(C10:C11)</f>
        <v>272500</v>
      </c>
      <c r="D12" s="35" t="s">
        <v>449</v>
      </c>
    </row>
    <row r="13" spans="2:5" x14ac:dyDescent="0.25">
      <c r="B13" t="s">
        <v>437</v>
      </c>
      <c r="C13" s="10">
        <f>C10/C12</f>
        <v>0.69174311926605503</v>
      </c>
      <c r="D13" s="35" t="s">
        <v>449</v>
      </c>
    </row>
    <row r="14" spans="2:5" x14ac:dyDescent="0.25">
      <c r="B14" t="s">
        <v>438</v>
      </c>
      <c r="C14" s="10">
        <f>1-C13</f>
        <v>0.30825688073394497</v>
      </c>
      <c r="D14" s="35" t="s">
        <v>449</v>
      </c>
    </row>
    <row r="15" spans="2:5" x14ac:dyDescent="0.25">
      <c r="D15" s="35"/>
    </row>
    <row r="16" spans="2:5" x14ac:dyDescent="0.25">
      <c r="B16" s="14" t="s">
        <v>439</v>
      </c>
      <c r="C16" s="36">
        <f>C17+C18*C19</f>
        <v>7.6500000000000012E-2</v>
      </c>
      <c r="D16" s="14"/>
    </row>
    <row r="17" spans="2:4" x14ac:dyDescent="0.25">
      <c r="B17" s="4" t="s">
        <v>440</v>
      </c>
      <c r="C17" s="6">
        <v>4.2000000000000003E-2</v>
      </c>
      <c r="D17" s="35" t="s">
        <v>450</v>
      </c>
    </row>
    <row r="18" spans="2:4" x14ac:dyDescent="0.25">
      <c r="B18" s="4" t="s">
        <v>441</v>
      </c>
      <c r="C18">
        <v>0.6</v>
      </c>
      <c r="D18" s="35" t="s">
        <v>449</v>
      </c>
    </row>
    <row r="19" spans="2:4" x14ac:dyDescent="0.25">
      <c r="B19" s="4" t="s">
        <v>442</v>
      </c>
      <c r="C19" s="6">
        <v>5.7500000000000002E-2</v>
      </c>
      <c r="D19" s="35" t="s">
        <v>451</v>
      </c>
    </row>
    <row r="21" spans="2:4" x14ac:dyDescent="0.25">
      <c r="B21" t="s">
        <v>443</v>
      </c>
      <c r="C21" s="6">
        <v>4.7E-2</v>
      </c>
      <c r="D21" s="35" t="s">
        <v>452</v>
      </c>
    </row>
    <row r="22" spans="2:4" x14ac:dyDescent="0.25">
      <c r="B22" t="s">
        <v>444</v>
      </c>
      <c r="C22">
        <v>0.79</v>
      </c>
      <c r="D22" s="35" t="s">
        <v>453</v>
      </c>
    </row>
    <row r="24" spans="2:4" x14ac:dyDescent="0.25">
      <c r="B24" t="s">
        <v>1</v>
      </c>
      <c r="C24" s="6">
        <f>C16*C13+C21*C22*C14</f>
        <v>6.4363926605504593E-2</v>
      </c>
    </row>
  </sheetData>
  <mergeCells count="4">
    <mergeCell ref="B2:E3"/>
    <mergeCell ref="B5:C5"/>
    <mergeCell ref="B8:C8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EA9E-3CDF-46DF-86AE-16BC18040D57}">
  <dimension ref="A1:D58"/>
  <sheetViews>
    <sheetView workbookViewId="0">
      <selection activeCell="B18" sqref="B18"/>
    </sheetView>
  </sheetViews>
  <sheetFormatPr defaultRowHeight="15" x14ac:dyDescent="0.25"/>
  <cols>
    <col min="1" max="1" width="98.5703125" customWidth="1"/>
    <col min="2" max="4" width="13.7109375" customWidth="1"/>
  </cols>
  <sheetData>
    <row r="1" spans="1:4" x14ac:dyDescent="0.25">
      <c r="A1" s="3" t="s">
        <v>345</v>
      </c>
      <c r="B1" s="25">
        <v>2020</v>
      </c>
      <c r="C1" s="25">
        <v>2021</v>
      </c>
      <c r="D1" s="25">
        <v>2022</v>
      </c>
    </row>
    <row r="2" spans="1:4" x14ac:dyDescent="0.25">
      <c r="A2" s="2" t="s">
        <v>75</v>
      </c>
      <c r="B2" s="24"/>
      <c r="C2" s="24"/>
      <c r="D2" s="24"/>
    </row>
    <row r="3" spans="1:4" x14ac:dyDescent="0.25">
      <c r="A3" s="3" t="s">
        <v>76</v>
      </c>
      <c r="B3" s="22" t="s">
        <v>341</v>
      </c>
      <c r="C3" s="20" t="s">
        <v>340</v>
      </c>
      <c r="D3" s="20" t="s">
        <v>339</v>
      </c>
    </row>
    <row r="4" spans="1:4" x14ac:dyDescent="0.25">
      <c r="A4" s="2" t="s">
        <v>346</v>
      </c>
      <c r="B4" s="19"/>
      <c r="C4" s="19"/>
      <c r="D4" s="19"/>
    </row>
    <row r="5" spans="1:4" x14ac:dyDescent="0.25">
      <c r="A5" s="3" t="s">
        <v>15</v>
      </c>
      <c r="B5" s="27">
        <v>4052</v>
      </c>
      <c r="C5" s="27">
        <v>3924</v>
      </c>
      <c r="D5" s="27">
        <v>4503</v>
      </c>
    </row>
    <row r="6" spans="1:4" x14ac:dyDescent="0.25">
      <c r="A6" s="2" t="s">
        <v>78</v>
      </c>
      <c r="B6" s="19" t="s">
        <v>357</v>
      </c>
      <c r="C6" s="19" t="s">
        <v>356</v>
      </c>
      <c r="D6" s="19" t="s">
        <v>355</v>
      </c>
    </row>
    <row r="7" spans="1:4" x14ac:dyDescent="0.25">
      <c r="A7" s="3" t="s">
        <v>347</v>
      </c>
      <c r="B7" s="20" t="s">
        <v>360</v>
      </c>
      <c r="C7" s="20" t="s">
        <v>359</v>
      </c>
      <c r="D7" s="20" t="s">
        <v>358</v>
      </c>
    </row>
    <row r="8" spans="1:4" x14ac:dyDescent="0.25">
      <c r="A8" s="2" t="s">
        <v>81</v>
      </c>
      <c r="B8" s="19">
        <v>-163</v>
      </c>
      <c r="C8" s="19">
        <v>-267</v>
      </c>
      <c r="D8" s="19" t="s">
        <v>361</v>
      </c>
    </row>
    <row r="9" spans="1:4" x14ac:dyDescent="0.25">
      <c r="A9" s="3" t="s">
        <v>82</v>
      </c>
      <c r="B9" s="20" t="s">
        <v>362</v>
      </c>
      <c r="C9" s="20">
        <v>-94</v>
      </c>
      <c r="D9" s="20">
        <v>-104</v>
      </c>
    </row>
    <row r="10" spans="1:4" x14ac:dyDescent="0.25">
      <c r="A10" s="2" t="s">
        <v>84</v>
      </c>
      <c r="B10" s="19">
        <v>-78</v>
      </c>
      <c r="C10" s="19" t="s">
        <v>364</v>
      </c>
      <c r="D10" s="19" t="s">
        <v>363</v>
      </c>
    </row>
    <row r="11" spans="1:4" x14ac:dyDescent="0.25">
      <c r="A11" s="3" t="s">
        <v>87</v>
      </c>
      <c r="B11" s="20">
        <v>-121</v>
      </c>
      <c r="C11" s="20">
        <v>-599</v>
      </c>
      <c r="D11" s="20">
        <v>-1465</v>
      </c>
    </row>
    <row r="12" spans="1:4" x14ac:dyDescent="0.25">
      <c r="A12" s="2" t="s">
        <v>348</v>
      </c>
      <c r="B12" s="19" t="s">
        <v>365</v>
      </c>
      <c r="C12" s="19">
        <v>-666</v>
      </c>
      <c r="D12" s="19">
        <v>-203</v>
      </c>
    </row>
    <row r="13" spans="1:4" x14ac:dyDescent="0.25">
      <c r="A13" s="3" t="s">
        <v>92</v>
      </c>
      <c r="B13" s="20" t="s">
        <v>368</v>
      </c>
      <c r="C13" s="20" t="s">
        <v>367</v>
      </c>
      <c r="D13" s="20" t="s">
        <v>366</v>
      </c>
    </row>
    <row r="14" spans="1:4" x14ac:dyDescent="0.25">
      <c r="A14" s="2" t="s">
        <v>95</v>
      </c>
      <c r="B14" s="19">
        <v>-403</v>
      </c>
      <c r="C14" s="19">
        <v>-146</v>
      </c>
      <c r="D14" s="19">
        <v>-602</v>
      </c>
    </row>
    <row r="15" spans="1:4" x14ac:dyDescent="0.25">
      <c r="A15" s="3" t="s">
        <v>96</v>
      </c>
      <c r="B15" s="20">
        <v>-69</v>
      </c>
      <c r="C15" s="20">
        <v>-138</v>
      </c>
      <c r="D15" s="20">
        <v>-811</v>
      </c>
    </row>
    <row r="16" spans="1:4" x14ac:dyDescent="0.25">
      <c r="A16" s="2" t="s">
        <v>42</v>
      </c>
      <c r="B16" s="19" t="s">
        <v>25</v>
      </c>
      <c r="C16" s="19">
        <v>-59</v>
      </c>
      <c r="D16" s="19" t="s">
        <v>369</v>
      </c>
    </row>
    <row r="17" spans="1:4" x14ac:dyDescent="0.25">
      <c r="A17" s="3" t="s">
        <v>99</v>
      </c>
      <c r="B17" s="20"/>
      <c r="C17" s="20"/>
      <c r="D17" s="20"/>
    </row>
    <row r="18" spans="1:4" x14ac:dyDescent="0.25">
      <c r="A18" s="2" t="s">
        <v>100</v>
      </c>
      <c r="B18" s="19">
        <v>-364</v>
      </c>
      <c r="C18" s="19">
        <v>-1267</v>
      </c>
      <c r="D18" s="19">
        <v>-1340</v>
      </c>
    </row>
    <row r="19" spans="1:4" x14ac:dyDescent="0.25">
      <c r="A19" s="3" t="s">
        <v>101</v>
      </c>
      <c r="B19" s="20">
        <v>-234</v>
      </c>
      <c r="C19" s="20">
        <v>-324</v>
      </c>
      <c r="D19" s="20">
        <v>-89</v>
      </c>
    </row>
    <row r="20" spans="1:4" x14ac:dyDescent="0.25">
      <c r="A20" s="2" t="s">
        <v>102</v>
      </c>
      <c r="B20" s="19">
        <v>-6</v>
      </c>
      <c r="C20" s="29">
        <v>1053</v>
      </c>
      <c r="D20" s="29">
        <v>1702</v>
      </c>
    </row>
    <row r="21" spans="1:4" x14ac:dyDescent="0.25">
      <c r="A21" s="3" t="s">
        <v>103</v>
      </c>
      <c r="B21" s="20">
        <v>0</v>
      </c>
      <c r="C21" s="20">
        <v>52</v>
      </c>
      <c r="D21" s="20">
        <v>139</v>
      </c>
    </row>
    <row r="22" spans="1:4" x14ac:dyDescent="0.25">
      <c r="A22" s="2" t="s">
        <v>104</v>
      </c>
      <c r="B22" s="19" t="s">
        <v>370</v>
      </c>
      <c r="C22" s="29">
        <v>7553</v>
      </c>
      <c r="D22" s="29">
        <v>8262</v>
      </c>
    </row>
    <row r="23" spans="1:4" x14ac:dyDescent="0.25">
      <c r="A23" s="3" t="s">
        <v>105</v>
      </c>
      <c r="B23" s="20"/>
      <c r="C23" s="20"/>
      <c r="D23" s="20"/>
    </row>
    <row r="24" spans="1:4" x14ac:dyDescent="0.25">
      <c r="A24" s="2" t="s">
        <v>106</v>
      </c>
      <c r="B24" s="19">
        <v>-7489</v>
      </c>
      <c r="C24" s="19">
        <v>-7408</v>
      </c>
      <c r="D24" s="19">
        <v>-9067</v>
      </c>
    </row>
    <row r="25" spans="1:4" x14ac:dyDescent="0.25">
      <c r="A25" s="3" t="s">
        <v>107</v>
      </c>
      <c r="B25" s="20">
        <v>-6851</v>
      </c>
      <c r="C25" s="20">
        <v>-8247</v>
      </c>
      <c r="D25" s="20">
        <v>-9541</v>
      </c>
    </row>
    <row r="26" spans="1:4" x14ac:dyDescent="0.25">
      <c r="A26" s="2" t="s">
        <v>108</v>
      </c>
      <c r="B26" s="19">
        <v>-245</v>
      </c>
      <c r="C26" s="19">
        <v>-275</v>
      </c>
      <c r="D26" s="19">
        <v>-223</v>
      </c>
    </row>
    <row r="27" spans="1:4" x14ac:dyDescent="0.25">
      <c r="A27" s="3" t="s">
        <v>109</v>
      </c>
      <c r="B27" s="20">
        <v>-25</v>
      </c>
      <c r="C27" s="20">
        <v>-147</v>
      </c>
      <c r="D27" s="20">
        <v>-452</v>
      </c>
    </row>
    <row r="28" spans="1:4" x14ac:dyDescent="0.25">
      <c r="A28" s="2" t="s">
        <v>113</v>
      </c>
      <c r="B28" s="19" t="s">
        <v>373</v>
      </c>
      <c r="C28" s="19" t="s">
        <v>372</v>
      </c>
      <c r="D28" s="19" t="s">
        <v>371</v>
      </c>
    </row>
    <row r="29" spans="1:4" x14ac:dyDescent="0.25">
      <c r="A29" s="3" t="s">
        <v>116</v>
      </c>
      <c r="B29" s="20" t="s">
        <v>376</v>
      </c>
      <c r="C29" s="20" t="s">
        <v>375</v>
      </c>
      <c r="D29" s="20" t="s">
        <v>374</v>
      </c>
    </row>
    <row r="30" spans="1:4" x14ac:dyDescent="0.25">
      <c r="A30" s="2" t="s">
        <v>119</v>
      </c>
      <c r="B30" s="19">
        <v>-4100</v>
      </c>
      <c r="C30" s="19">
        <v>-5310</v>
      </c>
      <c r="D30" s="19">
        <v>-4586</v>
      </c>
    </row>
    <row r="31" spans="1:4" x14ac:dyDescent="0.25">
      <c r="A31" s="3" t="s">
        <v>42</v>
      </c>
      <c r="B31" s="20" t="s">
        <v>379</v>
      </c>
      <c r="C31" s="20" t="s">
        <v>378</v>
      </c>
      <c r="D31" s="20" t="s">
        <v>377</v>
      </c>
    </row>
    <row r="32" spans="1:4" x14ac:dyDescent="0.25">
      <c r="A32" s="2" t="s">
        <v>120</v>
      </c>
      <c r="B32" s="19">
        <v>-13699</v>
      </c>
      <c r="C32" s="19">
        <v>-13591</v>
      </c>
      <c r="D32" s="19">
        <v>-18359</v>
      </c>
    </row>
    <row r="33" spans="1:4" x14ac:dyDescent="0.25">
      <c r="A33" s="3" t="s">
        <v>121</v>
      </c>
      <c r="B33" s="20"/>
      <c r="C33" s="20"/>
      <c r="D33" s="20"/>
    </row>
    <row r="34" spans="1:4" x14ac:dyDescent="0.25">
      <c r="A34" s="2" t="s">
        <v>122</v>
      </c>
      <c r="B34" s="19" t="s">
        <v>382</v>
      </c>
      <c r="C34" s="19" t="s">
        <v>381</v>
      </c>
      <c r="D34" s="19" t="s">
        <v>380</v>
      </c>
    </row>
    <row r="35" spans="1:4" x14ac:dyDescent="0.25">
      <c r="A35" s="3" t="s">
        <v>125</v>
      </c>
      <c r="B35" s="20">
        <v>-6103</v>
      </c>
      <c r="C35" s="20">
        <v>-9594</v>
      </c>
      <c r="D35" s="20">
        <v>-4525</v>
      </c>
    </row>
    <row r="36" spans="1:4" x14ac:dyDescent="0.25">
      <c r="A36" s="2" t="s">
        <v>126</v>
      </c>
      <c r="B36" s="19" t="s">
        <v>385</v>
      </c>
      <c r="C36" s="19" t="s">
        <v>384</v>
      </c>
      <c r="D36" s="19" t="s">
        <v>383</v>
      </c>
    </row>
    <row r="37" spans="1:4" x14ac:dyDescent="0.25">
      <c r="A37" s="3" t="s">
        <v>130</v>
      </c>
      <c r="B37" s="20">
        <v>-965</v>
      </c>
      <c r="C37" s="20">
        <v>-169</v>
      </c>
      <c r="D37" s="20" t="s">
        <v>386</v>
      </c>
    </row>
    <row r="38" spans="1:4" x14ac:dyDescent="0.25">
      <c r="A38" s="2" t="s">
        <v>132</v>
      </c>
      <c r="B38" s="19" t="s">
        <v>266</v>
      </c>
      <c r="C38" s="19" t="s">
        <v>111</v>
      </c>
      <c r="D38" s="19" t="s">
        <v>387</v>
      </c>
    </row>
    <row r="39" spans="1:4" x14ac:dyDescent="0.25">
      <c r="A39" s="3" t="s">
        <v>135</v>
      </c>
      <c r="B39" s="20">
        <v>-2100</v>
      </c>
      <c r="C39" s="20">
        <v>-257</v>
      </c>
      <c r="D39" s="20">
        <v>-1125</v>
      </c>
    </row>
    <row r="40" spans="1:4" x14ac:dyDescent="0.25">
      <c r="A40" s="2" t="s">
        <v>349</v>
      </c>
      <c r="B40" s="19">
        <v>-2</v>
      </c>
      <c r="C40" s="19" t="s">
        <v>389</v>
      </c>
      <c r="D40" s="19" t="s">
        <v>388</v>
      </c>
    </row>
    <row r="41" spans="1:4" x14ac:dyDescent="0.25">
      <c r="A41" s="3" t="s">
        <v>350</v>
      </c>
      <c r="B41" s="20">
        <v>-92</v>
      </c>
      <c r="C41" s="20" t="s">
        <v>391</v>
      </c>
      <c r="D41" s="20" t="s">
        <v>390</v>
      </c>
    </row>
    <row r="42" spans="1:4" x14ac:dyDescent="0.25">
      <c r="A42" s="2" t="s">
        <v>351</v>
      </c>
      <c r="B42" s="19" t="s">
        <v>393</v>
      </c>
      <c r="C42" s="19" t="s">
        <v>392</v>
      </c>
      <c r="D42" s="19" t="s">
        <v>111</v>
      </c>
    </row>
    <row r="43" spans="1:4" x14ac:dyDescent="0.25">
      <c r="A43" s="3" t="s">
        <v>141</v>
      </c>
      <c r="B43" s="20">
        <v>-2743</v>
      </c>
      <c r="C43" s="20">
        <v>-3024</v>
      </c>
      <c r="D43" s="20">
        <v>-3352</v>
      </c>
    </row>
    <row r="44" spans="1:4" x14ac:dyDescent="0.25">
      <c r="A44" s="2" t="s">
        <v>42</v>
      </c>
      <c r="B44" s="19">
        <v>-406</v>
      </c>
      <c r="C44" s="19">
        <v>-737</v>
      </c>
      <c r="D44" s="19">
        <v>-565</v>
      </c>
    </row>
    <row r="45" spans="1:4" x14ac:dyDescent="0.25">
      <c r="A45" s="3" t="s">
        <v>142</v>
      </c>
      <c r="B45" s="20" t="s">
        <v>396</v>
      </c>
      <c r="C45" s="20" t="s">
        <v>395</v>
      </c>
      <c r="D45" s="20" t="s">
        <v>394</v>
      </c>
    </row>
    <row r="46" spans="1:4" x14ac:dyDescent="0.25">
      <c r="A46" s="2" t="s">
        <v>145</v>
      </c>
      <c r="B46" s="19">
        <v>-20</v>
      </c>
      <c r="C46" s="19" t="s">
        <v>397</v>
      </c>
      <c r="D46" s="19">
        <v>-7</v>
      </c>
    </row>
    <row r="47" spans="1:4" x14ac:dyDescent="0.25">
      <c r="A47" s="3" t="s">
        <v>146</v>
      </c>
      <c r="B47" s="20" t="s">
        <v>399</v>
      </c>
      <c r="C47" s="20">
        <v>-230</v>
      </c>
      <c r="D47" s="20" t="s">
        <v>398</v>
      </c>
    </row>
    <row r="48" spans="1:4" x14ac:dyDescent="0.25">
      <c r="A48" s="2" t="s">
        <v>147</v>
      </c>
      <c r="B48" s="19" t="s">
        <v>402</v>
      </c>
      <c r="C48" s="19" t="s">
        <v>401</v>
      </c>
      <c r="D48" s="19" t="s">
        <v>400</v>
      </c>
    </row>
    <row r="49" spans="1:4" x14ac:dyDescent="0.25">
      <c r="A49" s="3" t="s">
        <v>150</v>
      </c>
      <c r="B49" s="22" t="s">
        <v>401</v>
      </c>
      <c r="C49" s="20" t="s">
        <v>400</v>
      </c>
      <c r="D49" s="20" t="s">
        <v>149</v>
      </c>
    </row>
    <row r="50" spans="1:4" x14ac:dyDescent="0.25">
      <c r="A50" s="2" t="s">
        <v>152</v>
      </c>
      <c r="B50" s="21"/>
      <c r="C50" s="19"/>
      <c r="D50" s="19"/>
    </row>
    <row r="51" spans="1:4" x14ac:dyDescent="0.25">
      <c r="A51" s="3" t="s">
        <v>153</v>
      </c>
      <c r="B51" s="22" t="s">
        <v>405</v>
      </c>
      <c r="C51" s="20" t="s">
        <v>404</v>
      </c>
      <c r="D51" s="20" t="s">
        <v>403</v>
      </c>
    </row>
    <row r="52" spans="1:4" x14ac:dyDescent="0.25">
      <c r="A52" s="2" t="s">
        <v>154</v>
      </c>
      <c r="B52" s="21" t="s">
        <v>40</v>
      </c>
      <c r="C52" s="19">
        <v>-69</v>
      </c>
      <c r="D52" s="19">
        <v>-32</v>
      </c>
    </row>
    <row r="53" spans="1:4" x14ac:dyDescent="0.25">
      <c r="A53" s="3" t="s">
        <v>155</v>
      </c>
      <c r="B53" s="22"/>
      <c r="C53" s="20"/>
      <c r="D53" s="20"/>
    </row>
    <row r="54" spans="1:4" x14ac:dyDescent="0.25">
      <c r="A54" s="2" t="s">
        <v>156</v>
      </c>
      <c r="B54" s="21" t="s">
        <v>407</v>
      </c>
      <c r="C54" s="19" t="s">
        <v>375</v>
      </c>
      <c r="D54" s="19" t="s">
        <v>406</v>
      </c>
    </row>
    <row r="55" spans="1:4" x14ac:dyDescent="0.25">
      <c r="A55" s="3" t="s">
        <v>352</v>
      </c>
      <c r="B55" s="22" t="s">
        <v>111</v>
      </c>
      <c r="C55" s="20" t="s">
        <v>409</v>
      </c>
      <c r="D55" s="20" t="s">
        <v>408</v>
      </c>
    </row>
    <row r="56" spans="1:4" x14ac:dyDescent="0.25">
      <c r="A56" s="2" t="s">
        <v>157</v>
      </c>
      <c r="B56" s="21" t="s">
        <v>412</v>
      </c>
      <c r="C56" s="19" t="s">
        <v>411</v>
      </c>
      <c r="D56" s="19" t="s">
        <v>410</v>
      </c>
    </row>
    <row r="57" spans="1:4" x14ac:dyDescent="0.25">
      <c r="A57" s="3" t="s">
        <v>353</v>
      </c>
      <c r="B57" s="22" t="s">
        <v>413</v>
      </c>
      <c r="C57" s="20" t="s">
        <v>111</v>
      </c>
      <c r="D57" s="20" t="s">
        <v>111</v>
      </c>
    </row>
    <row r="58" spans="1:4" x14ac:dyDescent="0.25">
      <c r="A58" s="2" t="s">
        <v>354</v>
      </c>
      <c r="B58" s="21" t="s">
        <v>414</v>
      </c>
      <c r="C58" s="19" t="s">
        <v>111</v>
      </c>
      <c r="D58" s="19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4841-803F-4C9B-93D8-3FACAE6051D2}">
  <dimension ref="A1:D56"/>
  <sheetViews>
    <sheetView workbookViewId="0">
      <selection activeCell="C20" sqref="C20"/>
    </sheetView>
  </sheetViews>
  <sheetFormatPr defaultRowHeight="15" x14ac:dyDescent="0.25"/>
  <cols>
    <col min="1" max="1" width="89.5703125" customWidth="1"/>
    <col min="2" max="4" width="13.7109375" customWidth="1"/>
  </cols>
  <sheetData>
    <row r="1" spans="1:4" x14ac:dyDescent="0.25">
      <c r="A1" t="s">
        <v>345</v>
      </c>
      <c r="B1" s="24">
        <v>2023</v>
      </c>
      <c r="C1" s="24">
        <v>2024</v>
      </c>
      <c r="D1" s="24">
        <v>2025</v>
      </c>
    </row>
    <row r="2" spans="1:4" x14ac:dyDescent="0.25">
      <c r="A2" s="2" t="s">
        <v>75</v>
      </c>
    </row>
    <row r="3" spans="1:4" x14ac:dyDescent="0.25">
      <c r="A3" s="3" t="s">
        <v>76</v>
      </c>
      <c r="B3" s="22">
        <v>6282</v>
      </c>
      <c r="C3" s="20">
        <v>5698</v>
      </c>
      <c r="D3" s="20">
        <v>5332</v>
      </c>
    </row>
    <row r="4" spans="1:4" x14ac:dyDescent="0.25">
      <c r="A4" s="2" t="s">
        <v>77</v>
      </c>
      <c r="B4" s="19"/>
      <c r="C4" s="19"/>
      <c r="D4" s="19"/>
    </row>
    <row r="5" spans="1:4" x14ac:dyDescent="0.25">
      <c r="A5" s="3" t="s">
        <v>15</v>
      </c>
      <c r="B5" s="27">
        <v>5879</v>
      </c>
      <c r="C5" s="27">
        <v>5462</v>
      </c>
      <c r="D5" s="27">
        <v>6580</v>
      </c>
    </row>
    <row r="6" spans="1:4" x14ac:dyDescent="0.25">
      <c r="A6" s="2" t="s">
        <v>78</v>
      </c>
      <c r="B6" s="19" t="s">
        <v>71</v>
      </c>
      <c r="C6" s="19" t="s">
        <v>79</v>
      </c>
      <c r="D6" s="19" t="s">
        <v>158</v>
      </c>
    </row>
    <row r="7" spans="1:4" x14ac:dyDescent="0.25">
      <c r="A7" s="3" t="s">
        <v>80</v>
      </c>
      <c r="B7" s="20">
        <v>-1949</v>
      </c>
      <c r="C7" s="20">
        <v>-492</v>
      </c>
      <c r="D7" s="20" t="s">
        <v>159</v>
      </c>
    </row>
    <row r="8" spans="1:4" x14ac:dyDescent="0.25">
      <c r="A8" s="2" t="s">
        <v>81</v>
      </c>
      <c r="B8" s="19">
        <v>-159</v>
      </c>
      <c r="C8" s="19">
        <v>-107</v>
      </c>
      <c r="D8" s="19">
        <v>-107</v>
      </c>
    </row>
    <row r="9" spans="1:4" x14ac:dyDescent="0.25">
      <c r="A9" s="3" t="s">
        <v>82</v>
      </c>
      <c r="B9" s="20" t="s">
        <v>83</v>
      </c>
      <c r="C9" s="20">
        <v>-85</v>
      </c>
      <c r="D9" s="20" t="s">
        <v>160</v>
      </c>
    </row>
    <row r="10" spans="1:4" x14ac:dyDescent="0.25">
      <c r="A10" s="2" t="s">
        <v>84</v>
      </c>
      <c r="B10" s="19" t="s">
        <v>86</v>
      </c>
      <c r="C10" s="19" t="s">
        <v>85</v>
      </c>
      <c r="D10" s="19" t="s">
        <v>161</v>
      </c>
    </row>
    <row r="11" spans="1:4" x14ac:dyDescent="0.25">
      <c r="A11" s="3" t="s">
        <v>87</v>
      </c>
      <c r="B11" s="20" t="s">
        <v>89</v>
      </c>
      <c r="C11" s="20" t="s">
        <v>88</v>
      </c>
      <c r="D11" s="20">
        <v>-89</v>
      </c>
    </row>
    <row r="12" spans="1:4" x14ac:dyDescent="0.25">
      <c r="A12" s="2" t="s">
        <v>29</v>
      </c>
      <c r="B12" s="19" t="s">
        <v>91</v>
      </c>
      <c r="C12" s="19" t="s">
        <v>90</v>
      </c>
      <c r="D12" s="19" t="s">
        <v>162</v>
      </c>
    </row>
    <row r="13" spans="1:4" x14ac:dyDescent="0.25">
      <c r="A13" s="3" t="s">
        <v>92</v>
      </c>
      <c r="B13" s="20" t="s">
        <v>94</v>
      </c>
      <c r="C13" s="20" t="s">
        <v>93</v>
      </c>
      <c r="D13" s="20" t="s">
        <v>163</v>
      </c>
    </row>
    <row r="14" spans="1:4" x14ac:dyDescent="0.25">
      <c r="A14" s="2" t="s">
        <v>95</v>
      </c>
      <c r="B14" s="19">
        <v>-530</v>
      </c>
      <c r="C14" s="19">
        <v>-515</v>
      </c>
      <c r="D14" s="19">
        <v>-439</v>
      </c>
    </row>
    <row r="15" spans="1:4" x14ac:dyDescent="0.25">
      <c r="A15" s="3" t="s">
        <v>96</v>
      </c>
      <c r="B15" s="20">
        <v>-399</v>
      </c>
      <c r="C15" s="20">
        <v>-676</v>
      </c>
      <c r="D15" s="20">
        <v>-460</v>
      </c>
    </row>
    <row r="16" spans="1:4" x14ac:dyDescent="0.25">
      <c r="A16" s="2" t="s">
        <v>42</v>
      </c>
      <c r="B16" s="19" t="s">
        <v>98</v>
      </c>
      <c r="C16" s="19" t="s">
        <v>97</v>
      </c>
      <c r="D16" s="19" t="s">
        <v>164</v>
      </c>
    </row>
    <row r="17" spans="1:4" x14ac:dyDescent="0.25">
      <c r="A17" s="3" t="s">
        <v>99</v>
      </c>
      <c r="B17" s="20"/>
      <c r="C17" s="20"/>
      <c r="D17" s="20"/>
    </row>
    <row r="18" spans="1:4" x14ac:dyDescent="0.25">
      <c r="A18" s="2" t="s">
        <v>100</v>
      </c>
      <c r="B18" s="19">
        <v>58</v>
      </c>
      <c r="C18" s="19">
        <v>-382</v>
      </c>
      <c r="D18" s="19">
        <v>-920</v>
      </c>
    </row>
    <row r="19" spans="1:4" x14ac:dyDescent="0.25">
      <c r="A19" s="3" t="s">
        <v>101</v>
      </c>
      <c r="B19" s="20">
        <v>-408</v>
      </c>
      <c r="C19" s="20">
        <v>-473</v>
      </c>
      <c r="D19" s="20">
        <v>-440</v>
      </c>
    </row>
    <row r="20" spans="1:4" x14ac:dyDescent="0.25">
      <c r="A20" s="2" t="s">
        <v>102</v>
      </c>
      <c r="B20" s="19">
        <v>-1109</v>
      </c>
      <c r="C20" s="19">
        <v>767</v>
      </c>
      <c r="D20" s="19">
        <v>487</v>
      </c>
    </row>
    <row r="21" spans="1:4" x14ac:dyDescent="0.25">
      <c r="A21" s="3" t="s">
        <v>103</v>
      </c>
      <c r="B21" s="20">
        <v>66</v>
      </c>
      <c r="C21" s="20">
        <v>248</v>
      </c>
      <c r="D21" s="20">
        <v>500</v>
      </c>
    </row>
    <row r="22" spans="1:4" x14ac:dyDescent="0.25">
      <c r="A22" s="2" t="s">
        <v>104</v>
      </c>
      <c r="B22" s="29">
        <v>11301</v>
      </c>
      <c r="C22" s="29">
        <v>13260</v>
      </c>
      <c r="D22" s="29">
        <v>12485</v>
      </c>
    </row>
    <row r="23" spans="1:4" x14ac:dyDescent="0.25">
      <c r="A23" s="3" t="s">
        <v>105</v>
      </c>
      <c r="B23" s="20"/>
      <c r="C23" s="20"/>
      <c r="D23" s="20"/>
    </row>
    <row r="24" spans="1:4" x14ac:dyDescent="0.25">
      <c r="A24" s="2" t="s">
        <v>106</v>
      </c>
      <c r="B24" s="19">
        <v>-9302</v>
      </c>
      <c r="C24" s="19">
        <v>-7992</v>
      </c>
      <c r="D24" s="19">
        <v>-8719</v>
      </c>
    </row>
    <row r="25" spans="1:4" x14ac:dyDescent="0.25">
      <c r="A25" s="3" t="s">
        <v>107</v>
      </c>
      <c r="B25" s="20">
        <v>-15565</v>
      </c>
      <c r="C25" s="20">
        <v>-16215</v>
      </c>
      <c r="D25" s="20">
        <v>-15332</v>
      </c>
    </row>
    <row r="26" spans="1:4" x14ac:dyDescent="0.25">
      <c r="A26" s="2" t="s">
        <v>108</v>
      </c>
      <c r="B26" s="19">
        <v>-185</v>
      </c>
      <c r="C26" s="19">
        <v>-399</v>
      </c>
      <c r="D26" s="19">
        <v>-553</v>
      </c>
    </row>
    <row r="27" spans="1:4" x14ac:dyDescent="0.25">
      <c r="A27" s="3" t="s">
        <v>109</v>
      </c>
      <c r="B27" s="20">
        <v>-61</v>
      </c>
      <c r="C27" s="20">
        <v>-123</v>
      </c>
      <c r="D27" s="20">
        <v>-2</v>
      </c>
    </row>
    <row r="28" spans="1:4" x14ac:dyDescent="0.25">
      <c r="A28" s="2" t="s">
        <v>110</v>
      </c>
      <c r="B28" s="19" t="s">
        <v>112</v>
      </c>
      <c r="C28" s="19" t="s">
        <v>111</v>
      </c>
      <c r="D28" s="19" t="s">
        <v>111</v>
      </c>
    </row>
    <row r="29" spans="1:4" x14ac:dyDescent="0.25">
      <c r="A29" s="3" t="s">
        <v>113</v>
      </c>
      <c r="B29" s="20" t="s">
        <v>115</v>
      </c>
      <c r="C29" s="20" t="s">
        <v>114</v>
      </c>
      <c r="D29" s="20" t="s">
        <v>165</v>
      </c>
    </row>
    <row r="30" spans="1:4" x14ac:dyDescent="0.25">
      <c r="A30" s="2" t="s">
        <v>116</v>
      </c>
      <c r="B30" s="19" t="s">
        <v>118</v>
      </c>
      <c r="C30" s="19" t="s">
        <v>117</v>
      </c>
      <c r="D30" s="19" t="s">
        <v>166</v>
      </c>
    </row>
    <row r="31" spans="1:4" x14ac:dyDescent="0.25">
      <c r="A31" s="3" t="s">
        <v>119</v>
      </c>
      <c r="B31" s="20">
        <v>-5926</v>
      </c>
      <c r="C31" s="20">
        <v>-5623</v>
      </c>
      <c r="D31" s="20">
        <v>-5893</v>
      </c>
    </row>
    <row r="32" spans="1:4" x14ac:dyDescent="0.25">
      <c r="A32" s="2" t="s">
        <v>42</v>
      </c>
      <c r="B32" s="19">
        <v>-110</v>
      </c>
      <c r="C32" s="19">
        <v>-16</v>
      </c>
      <c r="D32" s="19" t="s">
        <v>167</v>
      </c>
    </row>
    <row r="33" spans="1:4" x14ac:dyDescent="0.25">
      <c r="A33" s="3" t="s">
        <v>120</v>
      </c>
      <c r="B33" s="20">
        <v>-23467</v>
      </c>
      <c r="C33" s="20">
        <v>-22264</v>
      </c>
      <c r="D33" s="20">
        <v>-23865</v>
      </c>
    </row>
    <row r="34" spans="1:4" x14ac:dyDescent="0.25">
      <c r="A34" s="2" t="s">
        <v>121</v>
      </c>
      <c r="B34" s="19"/>
      <c r="C34" s="19"/>
      <c r="D34" s="19"/>
    </row>
    <row r="35" spans="1:4" x14ac:dyDescent="0.25">
      <c r="A35" s="3" t="s">
        <v>122</v>
      </c>
      <c r="B35" s="20" t="s">
        <v>124</v>
      </c>
      <c r="C35" s="20" t="s">
        <v>123</v>
      </c>
      <c r="D35" s="20" t="s">
        <v>168</v>
      </c>
    </row>
    <row r="36" spans="1:4" x14ac:dyDescent="0.25">
      <c r="A36" s="2" t="s">
        <v>125</v>
      </c>
      <c r="B36" s="19">
        <v>-7978</v>
      </c>
      <c r="C36" s="19">
        <v>-10113</v>
      </c>
      <c r="D36" s="19">
        <v>-10347</v>
      </c>
    </row>
    <row r="37" spans="1:4" x14ac:dyDescent="0.25">
      <c r="A37" s="3" t="s">
        <v>126</v>
      </c>
      <c r="B37" s="20" t="s">
        <v>128</v>
      </c>
      <c r="C37" s="20" t="s">
        <v>127</v>
      </c>
      <c r="D37" s="20" t="s">
        <v>169</v>
      </c>
    </row>
    <row r="38" spans="1:4" x14ac:dyDescent="0.25">
      <c r="A38" s="2" t="s">
        <v>129</v>
      </c>
      <c r="B38" s="19">
        <v>-75</v>
      </c>
      <c r="C38" s="19">
        <v>-740</v>
      </c>
      <c r="D38" s="19">
        <v>-516</v>
      </c>
    </row>
    <row r="39" spans="1:4" x14ac:dyDescent="0.25">
      <c r="A39" s="3" t="s">
        <v>130</v>
      </c>
      <c r="B39" s="20" t="s">
        <v>131</v>
      </c>
      <c r="C39" s="20">
        <v>-2980</v>
      </c>
      <c r="D39" s="20" t="s">
        <v>170</v>
      </c>
    </row>
    <row r="40" spans="1:4" x14ac:dyDescent="0.25">
      <c r="A40" s="2" t="s">
        <v>132</v>
      </c>
      <c r="B40" s="19" t="s">
        <v>134</v>
      </c>
      <c r="C40" s="19" t="s">
        <v>133</v>
      </c>
      <c r="D40" s="19" t="s">
        <v>171</v>
      </c>
    </row>
    <row r="41" spans="1:4" x14ac:dyDescent="0.25">
      <c r="A41" s="3" t="s">
        <v>135</v>
      </c>
      <c r="B41" s="20">
        <v>-2613</v>
      </c>
      <c r="C41" s="20">
        <v>-6613</v>
      </c>
      <c r="D41" s="20">
        <v>-2167</v>
      </c>
    </row>
    <row r="42" spans="1:4" x14ac:dyDescent="0.25">
      <c r="A42" s="2" t="s">
        <v>136</v>
      </c>
      <c r="B42" s="19" t="s">
        <v>137</v>
      </c>
      <c r="C42" s="19">
        <v>-1371</v>
      </c>
      <c r="D42" s="19">
        <v>-131</v>
      </c>
    </row>
    <row r="43" spans="1:4" x14ac:dyDescent="0.25">
      <c r="A43" s="3" t="s">
        <v>138</v>
      </c>
      <c r="B43" s="20" t="s">
        <v>140</v>
      </c>
      <c r="C43" s="20" t="s">
        <v>139</v>
      </c>
      <c r="D43" s="20" t="s">
        <v>172</v>
      </c>
    </row>
    <row r="44" spans="1:4" x14ac:dyDescent="0.25">
      <c r="A44" s="2" t="s">
        <v>141</v>
      </c>
      <c r="B44" s="19">
        <v>-3782</v>
      </c>
      <c r="C44" s="19">
        <v>-4235</v>
      </c>
      <c r="D44" s="19">
        <v>-4680</v>
      </c>
    </row>
    <row r="45" spans="1:4" x14ac:dyDescent="0.25">
      <c r="A45" s="3" t="s">
        <v>42</v>
      </c>
      <c r="B45" s="20">
        <v>-653</v>
      </c>
      <c r="C45" s="20">
        <v>-597</v>
      </c>
      <c r="D45" s="20">
        <v>-731</v>
      </c>
    </row>
    <row r="46" spans="1:4" x14ac:dyDescent="0.25">
      <c r="A46" s="2" t="s">
        <v>142</v>
      </c>
      <c r="B46" s="19" t="s">
        <v>144</v>
      </c>
      <c r="C46" s="19" t="s">
        <v>143</v>
      </c>
      <c r="D46" s="19" t="s">
        <v>173</v>
      </c>
    </row>
    <row r="47" spans="1:4" x14ac:dyDescent="0.25">
      <c r="A47" s="3" t="s">
        <v>145</v>
      </c>
      <c r="B47" s="20">
        <v>-4</v>
      </c>
      <c r="C47" s="20">
        <v>-14</v>
      </c>
      <c r="D47" s="20" t="s">
        <v>174</v>
      </c>
    </row>
    <row r="48" spans="1:4" x14ac:dyDescent="0.25">
      <c r="A48" s="2" t="s">
        <v>146</v>
      </c>
      <c r="B48" s="19">
        <v>-21</v>
      </c>
      <c r="C48" s="19">
        <v>-2018</v>
      </c>
      <c r="D48" s="19" t="s">
        <v>175</v>
      </c>
    </row>
    <row r="49" spans="1:4" x14ac:dyDescent="0.25">
      <c r="A49" s="3" t="s">
        <v>147</v>
      </c>
      <c r="B49" s="20" t="s">
        <v>149</v>
      </c>
      <c r="C49" s="20" t="s">
        <v>148</v>
      </c>
      <c r="D49" s="20" t="s">
        <v>151</v>
      </c>
    </row>
    <row r="50" spans="1:4" x14ac:dyDescent="0.25">
      <c r="A50" s="2" t="s">
        <v>150</v>
      </c>
      <c r="B50" s="21">
        <v>3420</v>
      </c>
      <c r="C50" s="19">
        <v>1402</v>
      </c>
      <c r="D50" s="19">
        <v>3006</v>
      </c>
    </row>
    <row r="51" spans="1:4" x14ac:dyDescent="0.25">
      <c r="A51" s="3" t="s">
        <v>152</v>
      </c>
      <c r="B51" s="22"/>
      <c r="C51" s="20"/>
      <c r="D51" s="20"/>
    </row>
    <row r="52" spans="1:4" x14ac:dyDescent="0.25">
      <c r="A52" s="2" t="s">
        <v>153</v>
      </c>
      <c r="B52" s="21">
        <v>2463</v>
      </c>
      <c r="C52" s="19">
        <v>2737</v>
      </c>
      <c r="D52" s="19">
        <v>3501</v>
      </c>
    </row>
    <row r="53" spans="1:4" x14ac:dyDescent="0.25">
      <c r="A53" s="3" t="s">
        <v>154</v>
      </c>
      <c r="B53" s="22">
        <v>321</v>
      </c>
      <c r="C53" s="20">
        <v>-760</v>
      </c>
      <c r="D53" s="20">
        <v>-1275</v>
      </c>
    </row>
    <row r="54" spans="1:4" x14ac:dyDescent="0.25">
      <c r="A54" s="2" t="s">
        <v>155</v>
      </c>
      <c r="B54" s="21"/>
      <c r="C54" s="19"/>
      <c r="D54" s="19"/>
    </row>
    <row r="55" spans="1:4" x14ac:dyDescent="0.25">
      <c r="A55" s="3" t="s">
        <v>156</v>
      </c>
      <c r="B55" s="22">
        <v>7104</v>
      </c>
      <c r="C55" s="20">
        <v>6835</v>
      </c>
      <c r="D55" s="20">
        <v>7645</v>
      </c>
    </row>
    <row r="56" spans="1:4" x14ac:dyDescent="0.25">
      <c r="A56" s="2" t="s">
        <v>157</v>
      </c>
      <c r="B56" s="21">
        <v>124</v>
      </c>
      <c r="C56" s="19">
        <v>533</v>
      </c>
      <c r="D56" s="19">
        <v>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7E03-8802-4188-B3D6-B6B192FAD818}">
  <dimension ref="A1:D27"/>
  <sheetViews>
    <sheetView workbookViewId="0">
      <selection activeCell="D14" sqref="D14"/>
    </sheetView>
  </sheetViews>
  <sheetFormatPr defaultRowHeight="15" x14ac:dyDescent="0.25"/>
  <cols>
    <col min="1" max="1" width="97.28515625" customWidth="1"/>
    <col min="2" max="4" width="13.7109375" customWidth="1"/>
  </cols>
  <sheetData>
    <row r="1" spans="1:4" x14ac:dyDescent="0.25">
      <c r="A1" t="s">
        <v>345</v>
      </c>
      <c r="B1">
        <v>2023</v>
      </c>
      <c r="C1">
        <v>2024</v>
      </c>
      <c r="D1">
        <v>2025</v>
      </c>
    </row>
    <row r="2" spans="1:4" x14ac:dyDescent="0.25">
      <c r="A2" s="2" t="s">
        <v>7</v>
      </c>
      <c r="B2" s="23">
        <v>28114</v>
      </c>
      <c r="C2" s="24">
        <v>24753</v>
      </c>
      <c r="D2" s="24">
        <v>27412</v>
      </c>
    </row>
    <row r="3" spans="1:4" x14ac:dyDescent="0.25">
      <c r="A3" s="3" t="s">
        <v>8</v>
      </c>
      <c r="B3" s="25"/>
      <c r="C3" s="25"/>
      <c r="D3" s="25"/>
    </row>
    <row r="4" spans="1:4" x14ac:dyDescent="0.25">
      <c r="A4" s="2" t="s">
        <v>9</v>
      </c>
      <c r="B4" s="24" t="s">
        <v>11</v>
      </c>
      <c r="C4" s="24" t="s">
        <v>10</v>
      </c>
      <c r="D4" s="24" t="s">
        <v>62</v>
      </c>
    </row>
    <row r="5" spans="1:4" x14ac:dyDescent="0.25">
      <c r="A5" s="3" t="s">
        <v>12</v>
      </c>
      <c r="B5" s="25" t="s">
        <v>14</v>
      </c>
      <c r="C5" s="25" t="s">
        <v>13</v>
      </c>
      <c r="D5" s="25" t="s">
        <v>63</v>
      </c>
    </row>
    <row r="6" spans="1:4" x14ac:dyDescent="0.25">
      <c r="A6" s="2" t="s">
        <v>15</v>
      </c>
      <c r="B6" s="24" t="s">
        <v>17</v>
      </c>
      <c r="C6" s="24" t="s">
        <v>16</v>
      </c>
      <c r="D6" s="24" t="s">
        <v>64</v>
      </c>
    </row>
    <row r="7" spans="1:4" x14ac:dyDescent="0.25">
      <c r="A7" s="3" t="s">
        <v>18</v>
      </c>
      <c r="B7" s="25" t="s">
        <v>20</v>
      </c>
      <c r="C7" s="25" t="s">
        <v>19</v>
      </c>
      <c r="D7" s="25" t="s">
        <v>65</v>
      </c>
    </row>
    <row r="8" spans="1:4" x14ac:dyDescent="0.25">
      <c r="A8" s="2" t="s">
        <v>21</v>
      </c>
      <c r="B8" s="24" t="s">
        <v>23</v>
      </c>
      <c r="C8" s="24" t="s">
        <v>22</v>
      </c>
      <c r="D8" s="24" t="s">
        <v>66</v>
      </c>
    </row>
    <row r="9" spans="1:4" x14ac:dyDescent="0.25">
      <c r="A9" s="3" t="s">
        <v>24</v>
      </c>
      <c r="B9" s="25" t="s">
        <v>26</v>
      </c>
      <c r="C9" s="25" t="s">
        <v>25</v>
      </c>
      <c r="D9" s="25" t="s">
        <v>67</v>
      </c>
    </row>
    <row r="10" spans="1:4" x14ac:dyDescent="0.25">
      <c r="A10" s="2" t="s">
        <v>275</v>
      </c>
      <c r="B10" s="28">
        <v>10237</v>
      </c>
      <c r="C10" s="28">
        <v>7479</v>
      </c>
      <c r="D10" s="28">
        <v>8280</v>
      </c>
    </row>
    <row r="11" spans="1:4" x14ac:dyDescent="0.25">
      <c r="A11" s="3" t="s">
        <v>27</v>
      </c>
      <c r="B11" s="25"/>
      <c r="C11" s="25"/>
      <c r="D11" s="25"/>
    </row>
    <row r="12" spans="1:4" x14ac:dyDescent="0.25">
      <c r="A12" s="2" t="s">
        <v>28</v>
      </c>
      <c r="B12" s="24">
        <v>-3324</v>
      </c>
      <c r="C12" s="24">
        <v>-2235</v>
      </c>
      <c r="D12" s="24">
        <v>-4572</v>
      </c>
    </row>
    <row r="13" spans="1:4" x14ac:dyDescent="0.25">
      <c r="A13" s="3" t="s">
        <v>29</v>
      </c>
      <c r="B13" s="25">
        <v>-648</v>
      </c>
      <c r="C13" s="25">
        <v>-246</v>
      </c>
      <c r="D13" s="25">
        <v>-184</v>
      </c>
    </row>
    <row r="14" spans="1:4" x14ac:dyDescent="0.25">
      <c r="A14" s="2" t="s">
        <v>30</v>
      </c>
      <c r="B14" s="24" t="s">
        <v>32</v>
      </c>
      <c r="C14" s="24" t="s">
        <v>31</v>
      </c>
      <c r="D14" s="24" t="s">
        <v>68</v>
      </c>
    </row>
    <row r="15" spans="1:4" x14ac:dyDescent="0.25">
      <c r="A15" s="3" t="s">
        <v>33</v>
      </c>
      <c r="B15" s="25" t="s">
        <v>35</v>
      </c>
      <c r="C15" s="25" t="s">
        <v>34</v>
      </c>
      <c r="D15" s="25" t="s">
        <v>69</v>
      </c>
    </row>
    <row r="16" spans="1:4" x14ac:dyDescent="0.25">
      <c r="A16" s="2" t="s">
        <v>36</v>
      </c>
      <c r="B16" s="24" t="s">
        <v>38</v>
      </c>
      <c r="C16" s="24" t="s">
        <v>37</v>
      </c>
      <c r="D16" s="24" t="s">
        <v>37</v>
      </c>
    </row>
    <row r="17" spans="1:4" x14ac:dyDescent="0.25">
      <c r="A17" s="3" t="s">
        <v>39</v>
      </c>
      <c r="B17" s="25" t="s">
        <v>41</v>
      </c>
      <c r="C17" s="25" t="s">
        <v>40</v>
      </c>
      <c r="D17" s="25" t="s">
        <v>70</v>
      </c>
    </row>
    <row r="18" spans="1:4" x14ac:dyDescent="0.25">
      <c r="A18" s="2" t="s">
        <v>42</v>
      </c>
      <c r="B18" s="24" t="s">
        <v>44</v>
      </c>
      <c r="C18" s="24" t="s">
        <v>43</v>
      </c>
      <c r="D18" s="24" t="s">
        <v>71</v>
      </c>
    </row>
    <row r="19" spans="1:4" x14ac:dyDescent="0.25">
      <c r="A19" s="3" t="s">
        <v>45</v>
      </c>
      <c r="B19" s="25">
        <v>-2949</v>
      </c>
      <c r="C19" s="25">
        <v>-1442</v>
      </c>
      <c r="D19" s="25">
        <v>-3750</v>
      </c>
    </row>
    <row r="20" spans="1:4" x14ac:dyDescent="0.25">
      <c r="A20" s="2" t="s">
        <v>46</v>
      </c>
      <c r="B20" s="24" t="s">
        <v>48</v>
      </c>
      <c r="C20" s="24" t="s">
        <v>47</v>
      </c>
      <c r="D20" s="24" t="s">
        <v>72</v>
      </c>
    </row>
    <row r="21" spans="1:4" x14ac:dyDescent="0.25">
      <c r="A21" s="3" t="s">
        <v>49</v>
      </c>
      <c r="B21" s="25" t="s">
        <v>51</v>
      </c>
      <c r="C21" s="25" t="s">
        <v>50</v>
      </c>
      <c r="D21" s="25">
        <v>-802</v>
      </c>
    </row>
    <row r="22" spans="1:4" x14ac:dyDescent="0.25">
      <c r="A22" s="2" t="s">
        <v>52</v>
      </c>
      <c r="B22" s="24" t="s">
        <v>54</v>
      </c>
      <c r="C22" s="24" t="s">
        <v>53</v>
      </c>
      <c r="D22" s="24" t="s">
        <v>73</v>
      </c>
    </row>
    <row r="23" spans="1:4" x14ac:dyDescent="0.25">
      <c r="A23" s="3" t="s">
        <v>55</v>
      </c>
      <c r="B23" s="25" t="s">
        <v>57</v>
      </c>
      <c r="C23" s="25" t="s">
        <v>56</v>
      </c>
      <c r="D23" s="25" t="s">
        <v>74</v>
      </c>
    </row>
    <row r="24" spans="1:4" x14ac:dyDescent="0.25">
      <c r="A24" s="2" t="s">
        <v>58</v>
      </c>
      <c r="B24" s="23">
        <v>7310</v>
      </c>
      <c r="C24" s="24">
        <v>6946</v>
      </c>
      <c r="D24" s="24">
        <v>6835</v>
      </c>
    </row>
    <row r="25" spans="1:4" x14ac:dyDescent="0.25">
      <c r="A25" s="3" t="s">
        <v>59</v>
      </c>
      <c r="B25" s="25"/>
      <c r="C25" s="25"/>
      <c r="D25" s="25"/>
    </row>
    <row r="26" spans="1:4" x14ac:dyDescent="0.25">
      <c r="A26" s="2" t="s">
        <v>60</v>
      </c>
      <c r="B26" s="23">
        <v>3.61</v>
      </c>
      <c r="C26" s="24">
        <v>3.38</v>
      </c>
      <c r="D26" s="24">
        <v>3.31</v>
      </c>
    </row>
    <row r="27" spans="1:4" x14ac:dyDescent="0.25">
      <c r="A27" s="3" t="s">
        <v>61</v>
      </c>
      <c r="B27" s="26">
        <v>3.6</v>
      </c>
      <c r="C27" s="25">
        <v>3.37</v>
      </c>
      <c r="D27" s="25">
        <v>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2E52-EEF8-4C76-A2CB-34863EF9B353}">
  <dimension ref="A1:D27"/>
  <sheetViews>
    <sheetView workbookViewId="0">
      <selection activeCell="D10" sqref="D10"/>
    </sheetView>
  </sheetViews>
  <sheetFormatPr defaultRowHeight="15" x14ac:dyDescent="0.25"/>
  <cols>
    <col min="1" max="1" width="104.42578125" customWidth="1"/>
    <col min="2" max="4" width="13.7109375" customWidth="1"/>
  </cols>
  <sheetData>
    <row r="1" spans="1:4" x14ac:dyDescent="0.25">
      <c r="A1" t="s">
        <v>345</v>
      </c>
      <c r="B1">
        <v>2020</v>
      </c>
      <c r="C1">
        <v>2021</v>
      </c>
      <c r="D1">
        <v>2022</v>
      </c>
    </row>
    <row r="2" spans="1:4" x14ac:dyDescent="0.25">
      <c r="A2" s="2" t="s">
        <v>7</v>
      </c>
      <c r="B2" s="23">
        <v>17997</v>
      </c>
      <c r="C2" s="24">
        <v>17069</v>
      </c>
      <c r="D2" s="24">
        <v>20956</v>
      </c>
    </row>
    <row r="3" spans="1:4" x14ac:dyDescent="0.25">
      <c r="A3" s="3" t="s">
        <v>8</v>
      </c>
      <c r="B3" s="25"/>
      <c r="C3" s="25"/>
      <c r="D3" s="25"/>
    </row>
    <row r="4" spans="1:4" x14ac:dyDescent="0.25">
      <c r="A4" s="2" t="s">
        <v>9</v>
      </c>
      <c r="B4" s="24" t="s">
        <v>305</v>
      </c>
      <c r="C4" s="24" t="s">
        <v>304</v>
      </c>
      <c r="D4" s="24" t="s">
        <v>303</v>
      </c>
    </row>
    <row r="5" spans="1:4" x14ac:dyDescent="0.25">
      <c r="A5" s="3" t="s">
        <v>12</v>
      </c>
      <c r="B5" s="25" t="s">
        <v>308</v>
      </c>
      <c r="C5" s="25" t="s">
        <v>307</v>
      </c>
      <c r="D5" s="25" t="s">
        <v>306</v>
      </c>
    </row>
    <row r="6" spans="1:4" x14ac:dyDescent="0.25">
      <c r="A6" s="2" t="s">
        <v>15</v>
      </c>
      <c r="B6" s="24" t="s">
        <v>311</v>
      </c>
      <c r="C6" s="24" t="s">
        <v>310</v>
      </c>
      <c r="D6" s="24" t="s">
        <v>309</v>
      </c>
    </row>
    <row r="7" spans="1:4" x14ac:dyDescent="0.25">
      <c r="A7" s="3" t="s">
        <v>18</v>
      </c>
      <c r="B7" s="25" t="s">
        <v>314</v>
      </c>
      <c r="C7" s="25" t="s">
        <v>313</v>
      </c>
      <c r="D7" s="25" t="s">
        <v>312</v>
      </c>
    </row>
    <row r="8" spans="1:4" x14ac:dyDescent="0.25">
      <c r="A8" s="2" t="s">
        <v>21</v>
      </c>
      <c r="B8" s="24" t="s">
        <v>317</v>
      </c>
      <c r="C8" s="24" t="s">
        <v>316</v>
      </c>
      <c r="D8" s="24" t="s">
        <v>315</v>
      </c>
    </row>
    <row r="9" spans="1:4" x14ac:dyDescent="0.25">
      <c r="A9" s="3" t="s">
        <v>24</v>
      </c>
      <c r="B9" s="25" t="s">
        <v>320</v>
      </c>
      <c r="C9" s="25" t="s">
        <v>319</v>
      </c>
      <c r="D9" s="25" t="s">
        <v>318</v>
      </c>
    </row>
    <row r="10" spans="1:4" x14ac:dyDescent="0.25">
      <c r="A10" s="2" t="s">
        <v>275</v>
      </c>
      <c r="B10" s="28">
        <v>5116</v>
      </c>
      <c r="C10" s="28">
        <v>2913</v>
      </c>
      <c r="D10" s="28">
        <v>4081</v>
      </c>
    </row>
    <row r="11" spans="1:4" x14ac:dyDescent="0.25">
      <c r="A11" s="3" t="s">
        <v>27</v>
      </c>
      <c r="B11" s="25"/>
      <c r="C11" s="25"/>
      <c r="D11" s="25"/>
    </row>
    <row r="12" spans="1:4" x14ac:dyDescent="0.25">
      <c r="A12" s="2" t="s">
        <v>28</v>
      </c>
      <c r="B12" s="24">
        <v>-1950</v>
      </c>
      <c r="C12" s="24">
        <v>-1270</v>
      </c>
      <c r="D12" s="24">
        <v>-585</v>
      </c>
    </row>
    <row r="13" spans="1:4" x14ac:dyDescent="0.25">
      <c r="A13" s="3" t="s">
        <v>301</v>
      </c>
      <c r="B13" s="25">
        <v>-1351</v>
      </c>
      <c r="C13" s="25" t="s">
        <v>322</v>
      </c>
      <c r="D13" s="25" t="s">
        <v>321</v>
      </c>
    </row>
    <row r="14" spans="1:4" x14ac:dyDescent="0.25">
      <c r="A14" s="2" t="s">
        <v>30</v>
      </c>
      <c r="B14" s="24" t="s">
        <v>325</v>
      </c>
      <c r="C14" s="24" t="s">
        <v>324</v>
      </c>
      <c r="D14" s="24" t="s">
        <v>323</v>
      </c>
    </row>
    <row r="15" spans="1:4" x14ac:dyDescent="0.25">
      <c r="A15" s="3" t="s">
        <v>33</v>
      </c>
      <c r="B15" s="25" t="s">
        <v>328</v>
      </c>
      <c r="C15" s="25" t="s">
        <v>327</v>
      </c>
      <c r="D15" s="25" t="s">
        <v>326</v>
      </c>
    </row>
    <row r="16" spans="1:4" x14ac:dyDescent="0.25">
      <c r="A16" s="2" t="s">
        <v>36</v>
      </c>
      <c r="B16" s="24" t="s">
        <v>34</v>
      </c>
      <c r="C16" s="24" t="s">
        <v>70</v>
      </c>
      <c r="D16" s="24">
        <v>-461</v>
      </c>
    </row>
    <row r="17" spans="1:4" x14ac:dyDescent="0.25">
      <c r="A17" s="3" t="s">
        <v>39</v>
      </c>
      <c r="B17" s="25" t="s">
        <v>330</v>
      </c>
      <c r="C17" s="25" t="s">
        <v>188</v>
      </c>
      <c r="D17" s="25" t="s">
        <v>329</v>
      </c>
    </row>
    <row r="18" spans="1:4" x14ac:dyDescent="0.25">
      <c r="A18" s="2" t="s">
        <v>42</v>
      </c>
      <c r="B18" s="24" t="s">
        <v>83</v>
      </c>
      <c r="C18" s="24" t="s">
        <v>331</v>
      </c>
      <c r="D18" s="24" t="s">
        <v>330</v>
      </c>
    </row>
    <row r="19" spans="1:4" x14ac:dyDescent="0.25">
      <c r="A19" s="3" t="s">
        <v>45</v>
      </c>
      <c r="B19" s="25">
        <v>-2703</v>
      </c>
      <c r="C19" s="25" t="s">
        <v>332</v>
      </c>
      <c r="D19" s="25">
        <v>-249</v>
      </c>
    </row>
    <row r="20" spans="1:4" x14ac:dyDescent="0.25">
      <c r="A20" s="2" t="s">
        <v>46</v>
      </c>
      <c r="B20" s="24" t="s">
        <v>335</v>
      </c>
      <c r="C20" s="24" t="s">
        <v>334</v>
      </c>
      <c r="D20" s="24" t="s">
        <v>333</v>
      </c>
    </row>
    <row r="21" spans="1:4" x14ac:dyDescent="0.25">
      <c r="A21" s="3" t="s">
        <v>302</v>
      </c>
      <c r="B21" s="25" t="s">
        <v>338</v>
      </c>
      <c r="C21" s="25" t="s">
        <v>337</v>
      </c>
      <c r="D21" s="25" t="s">
        <v>336</v>
      </c>
    </row>
    <row r="22" spans="1:4" x14ac:dyDescent="0.25">
      <c r="A22" s="2" t="s">
        <v>52</v>
      </c>
      <c r="B22" s="24" t="s">
        <v>341</v>
      </c>
      <c r="C22" s="24" t="s">
        <v>340</v>
      </c>
      <c r="D22" s="24" t="s">
        <v>339</v>
      </c>
    </row>
    <row r="23" spans="1:4" x14ac:dyDescent="0.25">
      <c r="A23" s="3" t="s">
        <v>55</v>
      </c>
      <c r="B23" s="25" t="s">
        <v>344</v>
      </c>
      <c r="C23" s="25" t="s">
        <v>343</v>
      </c>
      <c r="D23" s="25" t="s">
        <v>342</v>
      </c>
    </row>
    <row r="24" spans="1:4" x14ac:dyDescent="0.25">
      <c r="A24" s="2" t="s">
        <v>58</v>
      </c>
      <c r="B24" s="23">
        <v>2919</v>
      </c>
      <c r="C24" s="24">
        <v>3573</v>
      </c>
      <c r="D24" s="24">
        <v>4147</v>
      </c>
    </row>
    <row r="25" spans="1:4" x14ac:dyDescent="0.25">
      <c r="A25" s="3" t="s">
        <v>59</v>
      </c>
      <c r="B25" s="25"/>
      <c r="C25" s="25"/>
      <c r="D25" s="25"/>
    </row>
    <row r="26" spans="1:4" x14ac:dyDescent="0.25">
      <c r="A26" s="2" t="s">
        <v>60</v>
      </c>
      <c r="B26" s="23">
        <v>1.49</v>
      </c>
      <c r="C26" s="24">
        <v>1.82</v>
      </c>
      <c r="D26" s="24">
        <v>2.1</v>
      </c>
    </row>
    <row r="27" spans="1:4" x14ac:dyDescent="0.25">
      <c r="A27" s="3" t="s">
        <v>61</v>
      </c>
      <c r="B27" s="26">
        <v>1.48</v>
      </c>
      <c r="C27" s="25">
        <v>1.81</v>
      </c>
      <c r="D27" s="25">
        <v>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B99D-EA04-4A40-94F9-E893F2B9942D}">
  <dimension ref="A1:C46"/>
  <sheetViews>
    <sheetView workbookViewId="0">
      <selection activeCell="A49" sqref="A49"/>
    </sheetView>
  </sheetViews>
  <sheetFormatPr defaultRowHeight="15" x14ac:dyDescent="0.25"/>
  <cols>
    <col min="1" max="1" width="77.5703125" customWidth="1"/>
    <col min="2" max="3" width="13.7109375" customWidth="1"/>
  </cols>
  <sheetData>
    <row r="1" spans="1:3" x14ac:dyDescent="0.25">
      <c r="A1" t="s">
        <v>345</v>
      </c>
      <c r="B1">
        <v>2024</v>
      </c>
      <c r="C1">
        <v>2025</v>
      </c>
    </row>
    <row r="2" spans="1:3" x14ac:dyDescent="0.25">
      <c r="A2" s="2" t="s">
        <v>176</v>
      </c>
      <c r="B2" s="19"/>
      <c r="C2" s="19"/>
    </row>
    <row r="3" spans="1:3" x14ac:dyDescent="0.25">
      <c r="A3" s="3" t="s">
        <v>177</v>
      </c>
      <c r="B3" s="20"/>
      <c r="C3" s="20"/>
    </row>
    <row r="4" spans="1:3" x14ac:dyDescent="0.25">
      <c r="A4" s="2" t="s">
        <v>178</v>
      </c>
      <c r="B4" s="21">
        <v>32</v>
      </c>
      <c r="C4" s="19">
        <v>42</v>
      </c>
    </row>
    <row r="5" spans="1:3" x14ac:dyDescent="0.25">
      <c r="A5" s="3" t="s">
        <v>179</v>
      </c>
      <c r="B5" s="20" t="s">
        <v>180</v>
      </c>
      <c r="C5" s="20" t="s">
        <v>246</v>
      </c>
    </row>
    <row r="6" spans="1:3" x14ac:dyDescent="0.25">
      <c r="A6" s="2" t="s">
        <v>181</v>
      </c>
      <c r="B6" s="19" t="s">
        <v>182</v>
      </c>
      <c r="C6" s="19" t="s">
        <v>247</v>
      </c>
    </row>
    <row r="7" spans="1:3" x14ac:dyDescent="0.25">
      <c r="A7" s="3" t="s">
        <v>183</v>
      </c>
      <c r="B7" s="20" t="s">
        <v>184</v>
      </c>
      <c r="C7" s="20" t="s">
        <v>238</v>
      </c>
    </row>
    <row r="8" spans="1:3" x14ac:dyDescent="0.25">
      <c r="A8" s="2" t="s">
        <v>185</v>
      </c>
      <c r="B8" s="19" t="s">
        <v>186</v>
      </c>
      <c r="C8" s="19" t="s">
        <v>248</v>
      </c>
    </row>
    <row r="9" spans="1:3" x14ac:dyDescent="0.25">
      <c r="A9" s="3" t="s">
        <v>187</v>
      </c>
      <c r="B9" s="20" t="s">
        <v>188</v>
      </c>
      <c r="C9" s="20" t="s">
        <v>249</v>
      </c>
    </row>
    <row r="10" spans="1:3" x14ac:dyDescent="0.25">
      <c r="A10" s="2" t="s">
        <v>189</v>
      </c>
      <c r="B10" s="19" t="s">
        <v>190</v>
      </c>
      <c r="C10" s="19" t="s">
        <v>250</v>
      </c>
    </row>
    <row r="11" spans="1:3" x14ac:dyDescent="0.25">
      <c r="A11" s="3" t="s">
        <v>191</v>
      </c>
      <c r="B11" s="20"/>
      <c r="C11" s="20"/>
    </row>
    <row r="12" spans="1:3" x14ac:dyDescent="0.25">
      <c r="A12" s="2" t="s">
        <v>192</v>
      </c>
      <c r="B12" s="19" t="s">
        <v>193</v>
      </c>
      <c r="C12" s="19" t="s">
        <v>251</v>
      </c>
    </row>
    <row r="13" spans="1:3" x14ac:dyDescent="0.25">
      <c r="A13" s="3" t="s">
        <v>194</v>
      </c>
      <c r="B13" s="20" t="s">
        <v>195</v>
      </c>
      <c r="C13" s="20" t="s">
        <v>252</v>
      </c>
    </row>
    <row r="14" spans="1:3" x14ac:dyDescent="0.25">
      <c r="A14" s="2" t="s">
        <v>196</v>
      </c>
      <c r="B14" s="19" t="s">
        <v>197</v>
      </c>
      <c r="C14" s="19" t="s">
        <v>253</v>
      </c>
    </row>
    <row r="15" spans="1:3" x14ac:dyDescent="0.25">
      <c r="A15" s="3" t="s">
        <v>185</v>
      </c>
      <c r="B15" s="20" t="s">
        <v>198</v>
      </c>
      <c r="C15" s="20" t="s">
        <v>254</v>
      </c>
    </row>
    <row r="16" spans="1:3" x14ac:dyDescent="0.25">
      <c r="A16" s="2" t="s">
        <v>199</v>
      </c>
      <c r="B16" s="19" t="s">
        <v>200</v>
      </c>
      <c r="C16" s="19" t="s">
        <v>200</v>
      </c>
    </row>
    <row r="17" spans="1:3" x14ac:dyDescent="0.25">
      <c r="A17" s="3" t="s">
        <v>187</v>
      </c>
      <c r="B17" s="20" t="s">
        <v>201</v>
      </c>
      <c r="C17" s="20" t="s">
        <v>255</v>
      </c>
    </row>
    <row r="18" spans="1:3" x14ac:dyDescent="0.25">
      <c r="A18" s="2" t="s">
        <v>202</v>
      </c>
      <c r="B18" s="19" t="s">
        <v>203</v>
      </c>
      <c r="C18" s="19" t="s">
        <v>256</v>
      </c>
    </row>
    <row r="19" spans="1:3" x14ac:dyDescent="0.25">
      <c r="A19" s="3" t="s">
        <v>204</v>
      </c>
      <c r="B19" s="22">
        <v>98141</v>
      </c>
      <c r="C19" s="20">
        <v>105158</v>
      </c>
    </row>
    <row r="20" spans="1:3" x14ac:dyDescent="0.25">
      <c r="A20" s="2" t="s">
        <v>205</v>
      </c>
      <c r="B20" s="19"/>
      <c r="C20" s="19"/>
    </row>
    <row r="21" spans="1:3" x14ac:dyDescent="0.25">
      <c r="A21" s="3" t="s">
        <v>206</v>
      </c>
      <c r="B21" s="20"/>
      <c r="C21" s="20"/>
    </row>
    <row r="22" spans="1:3" x14ac:dyDescent="0.25">
      <c r="A22" s="2" t="s">
        <v>207</v>
      </c>
      <c r="B22" s="21">
        <v>1430</v>
      </c>
      <c r="C22" s="19">
        <v>1130</v>
      </c>
    </row>
    <row r="23" spans="1:3" x14ac:dyDescent="0.25">
      <c r="A23" s="3" t="s">
        <v>208</v>
      </c>
      <c r="B23" s="20" t="s">
        <v>209</v>
      </c>
      <c r="C23" s="20" t="s">
        <v>257</v>
      </c>
    </row>
    <row r="24" spans="1:3" x14ac:dyDescent="0.25">
      <c r="A24" s="2" t="s">
        <v>210</v>
      </c>
      <c r="B24" s="19" t="s">
        <v>211</v>
      </c>
      <c r="C24" s="19" t="s">
        <v>258</v>
      </c>
    </row>
    <row r="25" spans="1:3" x14ac:dyDescent="0.25">
      <c r="A25" s="3" t="s">
        <v>212</v>
      </c>
      <c r="B25" s="20" t="s">
        <v>213</v>
      </c>
      <c r="C25" s="20" t="s">
        <v>259</v>
      </c>
    </row>
    <row r="26" spans="1:3" x14ac:dyDescent="0.25">
      <c r="A26" s="2" t="s">
        <v>214</v>
      </c>
      <c r="B26" s="19" t="s">
        <v>215</v>
      </c>
      <c r="C26" s="19" t="s">
        <v>260</v>
      </c>
    </row>
    <row r="27" spans="1:3" x14ac:dyDescent="0.25">
      <c r="A27" s="3" t="s">
        <v>216</v>
      </c>
      <c r="B27" s="20" t="s">
        <v>217</v>
      </c>
      <c r="C27" s="20" t="s">
        <v>261</v>
      </c>
    </row>
    <row r="28" spans="1:3" x14ac:dyDescent="0.25">
      <c r="A28" s="2" t="s">
        <v>218</v>
      </c>
      <c r="B28" s="19" t="s">
        <v>219</v>
      </c>
      <c r="C28" s="19" t="s">
        <v>262</v>
      </c>
    </row>
    <row r="29" spans="1:3" x14ac:dyDescent="0.25">
      <c r="A29" s="3" t="s">
        <v>187</v>
      </c>
      <c r="B29" s="20" t="s">
        <v>220</v>
      </c>
      <c r="C29" s="20" t="s">
        <v>263</v>
      </c>
    </row>
    <row r="30" spans="1:3" x14ac:dyDescent="0.25">
      <c r="A30" s="2" t="s">
        <v>221</v>
      </c>
      <c r="B30" s="19" t="s">
        <v>222</v>
      </c>
      <c r="C30" s="19" t="s">
        <v>264</v>
      </c>
    </row>
    <row r="31" spans="1:3" x14ac:dyDescent="0.25">
      <c r="A31" s="3" t="s">
        <v>223</v>
      </c>
      <c r="B31" s="20"/>
      <c r="C31" s="20"/>
    </row>
    <row r="32" spans="1:3" x14ac:dyDescent="0.25">
      <c r="A32" s="2" t="s">
        <v>224</v>
      </c>
      <c r="B32" s="19" t="s">
        <v>225</v>
      </c>
      <c r="C32" s="19" t="s">
        <v>265</v>
      </c>
    </row>
    <row r="33" spans="1:3" x14ac:dyDescent="0.25">
      <c r="A33" s="3" t="s">
        <v>226</v>
      </c>
      <c r="B33" s="20" t="s">
        <v>227</v>
      </c>
      <c r="C33" s="20" t="s">
        <v>266</v>
      </c>
    </row>
    <row r="34" spans="1:3" x14ac:dyDescent="0.25">
      <c r="A34" s="2" t="s">
        <v>84</v>
      </c>
      <c r="B34" s="19" t="s">
        <v>228</v>
      </c>
      <c r="C34" s="19" t="s">
        <v>267</v>
      </c>
    </row>
    <row r="35" spans="1:3" x14ac:dyDescent="0.25">
      <c r="A35" s="3" t="s">
        <v>218</v>
      </c>
      <c r="B35" s="20" t="s">
        <v>229</v>
      </c>
      <c r="C35" s="20" t="s">
        <v>268</v>
      </c>
    </row>
    <row r="36" spans="1:3" x14ac:dyDescent="0.25">
      <c r="A36" s="2" t="s">
        <v>187</v>
      </c>
      <c r="B36" s="19" t="s">
        <v>230</v>
      </c>
      <c r="C36" s="19" t="s">
        <v>269</v>
      </c>
    </row>
    <row r="37" spans="1:3" x14ac:dyDescent="0.25">
      <c r="A37" s="3" t="s">
        <v>231</v>
      </c>
      <c r="B37" s="20" t="s">
        <v>232</v>
      </c>
      <c r="C37" s="20" t="s">
        <v>270</v>
      </c>
    </row>
    <row r="38" spans="1:3" x14ac:dyDescent="0.25">
      <c r="A38" s="2" t="s">
        <v>233</v>
      </c>
      <c r="B38" s="19" t="s">
        <v>234</v>
      </c>
      <c r="C38" s="19" t="s">
        <v>271</v>
      </c>
    </row>
    <row r="39" spans="1:3" x14ac:dyDescent="0.25">
      <c r="A39" s="3" t="s">
        <v>235</v>
      </c>
      <c r="B39" s="20"/>
      <c r="C39" s="20"/>
    </row>
    <row r="40" spans="1:3" x14ac:dyDescent="0.25">
      <c r="A40" s="2" t="s">
        <v>236</v>
      </c>
      <c r="B40" s="19"/>
      <c r="C40" s="19"/>
    </row>
    <row r="41" spans="1:3" x14ac:dyDescent="0.25">
      <c r="A41" s="3" t="s">
        <v>237</v>
      </c>
      <c r="B41" s="20" t="s">
        <v>238</v>
      </c>
      <c r="C41" s="20" t="s">
        <v>238</v>
      </c>
    </row>
    <row r="42" spans="1:3" x14ac:dyDescent="0.25">
      <c r="A42" s="2" t="s">
        <v>239</v>
      </c>
      <c r="B42" s="19" t="s">
        <v>240</v>
      </c>
      <c r="C42" s="19" t="s">
        <v>272</v>
      </c>
    </row>
    <row r="43" spans="1:3" x14ac:dyDescent="0.25">
      <c r="A43" s="3" t="s">
        <v>241</v>
      </c>
      <c r="B43" s="20" t="s">
        <v>242</v>
      </c>
      <c r="C43" s="20" t="s">
        <v>273</v>
      </c>
    </row>
    <row r="44" spans="1:3" x14ac:dyDescent="0.25">
      <c r="A44" s="2" t="s">
        <v>243</v>
      </c>
      <c r="B44" s="19" t="s">
        <v>244</v>
      </c>
      <c r="C44" s="19" t="s">
        <v>274</v>
      </c>
    </row>
    <row r="45" spans="1:3" x14ac:dyDescent="0.25">
      <c r="A45" s="3" t="s">
        <v>245</v>
      </c>
      <c r="B45" s="22">
        <v>98141</v>
      </c>
      <c r="C45" s="20">
        <v>105158</v>
      </c>
    </row>
    <row r="46" spans="1:3" x14ac:dyDescent="0.25">
      <c r="A46" s="13"/>
      <c r="B46" s="13"/>
      <c r="C4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0607E8-BA5A-417B-9301-86DB7E7FAC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DCF</vt:lpstr>
      <vt:lpstr>WACC</vt:lpstr>
      <vt:lpstr>Cashflow20-22</vt:lpstr>
      <vt:lpstr>CashFlow23-25</vt:lpstr>
      <vt:lpstr>Income Statement23-25</vt:lpstr>
      <vt:lpstr>Income Statement20-22</vt:lpstr>
      <vt:lpstr>Balance Sheets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T Scott</dc:creator>
  <cp:lastModifiedBy>nathan scott</cp:lastModifiedBy>
  <dcterms:created xsi:type="dcterms:W3CDTF">2026-04-30T15:00:50Z</dcterms:created>
  <dcterms:modified xsi:type="dcterms:W3CDTF">2026-05-08T22:59:09Z</dcterms:modified>
</cp:coreProperties>
</file>